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4265" yWindow="45" windowWidth="14535" windowHeight="12465" tabRatio="599"/>
  </bookViews>
  <sheets>
    <sheet name="1090604尚朋光電" sheetId="14" r:id="rId1"/>
    <sheet name="Sheet1" sheetId="2" r:id="rId2"/>
  </sheets>
  <calcPr calcId="145621"/>
</workbook>
</file>

<file path=xl/calcChain.xml><?xml version="1.0" encoding="utf-8"?>
<calcChain xmlns="http://schemas.openxmlformats.org/spreadsheetml/2006/main">
  <c r="AL68" i="14" l="1"/>
  <c r="AL69" i="14"/>
  <c r="AL70" i="14"/>
  <c r="AL71" i="14"/>
  <c r="AL72" i="14"/>
  <c r="AL73" i="14"/>
  <c r="AL74" i="14"/>
  <c r="AL75" i="14"/>
  <c r="AL76" i="14"/>
  <c r="AL77" i="14"/>
  <c r="AL78" i="14"/>
  <c r="AL79" i="14"/>
  <c r="AL80" i="14"/>
  <c r="AL81" i="14"/>
  <c r="AL67" i="14"/>
  <c r="AL41" i="14"/>
  <c r="AL42" i="14"/>
  <c r="AL43" i="14"/>
  <c r="AL44" i="14"/>
  <c r="AL45" i="14"/>
  <c r="AL46" i="14"/>
  <c r="AL47" i="14"/>
  <c r="AL48" i="14"/>
  <c r="AL49" i="14"/>
  <c r="AL50" i="14"/>
  <c r="AL51" i="14"/>
  <c r="AL52" i="14"/>
  <c r="AL53" i="14"/>
  <c r="AL54" i="14"/>
  <c r="AL55" i="14"/>
  <c r="AL56" i="14"/>
  <c r="AL57" i="14"/>
  <c r="AL40" i="14"/>
  <c r="AJ41" i="14" l="1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40" i="14"/>
  <c r="AK32" i="14"/>
  <c r="AL17" i="14"/>
  <c r="AL18" i="14"/>
  <c r="AL20" i="14"/>
  <c r="AL21" i="14"/>
  <c r="AL22" i="14"/>
  <c r="AL23" i="14"/>
  <c r="AL24" i="14"/>
  <c r="AL25" i="14"/>
  <c r="AL26" i="14"/>
  <c r="AL27" i="14"/>
  <c r="AL28" i="14"/>
  <c r="AL29" i="14"/>
  <c r="AL16" i="14"/>
  <c r="AL10" i="14"/>
  <c r="AL11" i="14"/>
  <c r="AL12" i="14"/>
  <c r="AL13" i="14"/>
  <c r="AL14" i="14"/>
  <c r="AL15" i="14"/>
  <c r="AL9" i="14"/>
  <c r="AJ68" i="14" l="1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67" i="14"/>
  <c r="AK66" i="14"/>
  <c r="AK8" i="14"/>
  <c r="AK19" i="14"/>
  <c r="Q55" i="14"/>
  <c r="Q76" i="14" l="1"/>
  <c r="E77" i="14"/>
  <c r="J77" i="14"/>
  <c r="R77" i="14" s="1"/>
  <c r="L77" i="14"/>
  <c r="M77" i="14" s="1"/>
  <c r="P77" i="14"/>
  <c r="V77" i="14"/>
  <c r="E78" i="14"/>
  <c r="J78" i="14"/>
  <c r="R78" i="14" s="1"/>
  <c r="L78" i="14"/>
  <c r="P78" i="14"/>
  <c r="V78" i="14"/>
  <c r="E79" i="14"/>
  <c r="J79" i="14"/>
  <c r="R79" i="14" s="1"/>
  <c r="L79" i="14"/>
  <c r="P79" i="14"/>
  <c r="V79" i="14"/>
  <c r="E61" i="14"/>
  <c r="J61" i="14"/>
  <c r="R61" i="14" s="1"/>
  <c r="L61" i="14"/>
  <c r="P61" i="14"/>
  <c r="V61" i="14"/>
  <c r="E62" i="14"/>
  <c r="J62" i="14"/>
  <c r="R62" i="14" s="1"/>
  <c r="L62" i="14"/>
  <c r="P62" i="14"/>
  <c r="V62" i="14"/>
  <c r="E63" i="14"/>
  <c r="J63" i="14"/>
  <c r="R63" i="14" s="1"/>
  <c r="L63" i="14"/>
  <c r="P63" i="14"/>
  <c r="V63" i="14"/>
  <c r="E67" i="14"/>
  <c r="J67" i="14"/>
  <c r="R67" i="14" s="1"/>
  <c r="L67" i="14"/>
  <c r="P67" i="14"/>
  <c r="V67" i="14"/>
  <c r="E68" i="14"/>
  <c r="J68" i="14"/>
  <c r="R68" i="14" s="1"/>
  <c r="L68" i="14"/>
  <c r="P68" i="14"/>
  <c r="V68" i="14"/>
  <c r="E69" i="14"/>
  <c r="J69" i="14"/>
  <c r="R69" i="14" s="1"/>
  <c r="L69" i="14"/>
  <c r="P69" i="14"/>
  <c r="V69" i="14"/>
  <c r="E70" i="14"/>
  <c r="J70" i="14"/>
  <c r="R70" i="14" s="1"/>
  <c r="L70" i="14"/>
  <c r="P70" i="14"/>
  <c r="V70" i="14"/>
  <c r="E71" i="14"/>
  <c r="J71" i="14"/>
  <c r="R71" i="14" s="1"/>
  <c r="L71" i="14"/>
  <c r="P71" i="14"/>
  <c r="V71" i="14"/>
  <c r="E72" i="14"/>
  <c r="J72" i="14"/>
  <c r="R72" i="14" s="1"/>
  <c r="L72" i="14"/>
  <c r="P72" i="14"/>
  <c r="V72" i="14"/>
  <c r="E73" i="14"/>
  <c r="J73" i="14"/>
  <c r="R73" i="14" s="1"/>
  <c r="L73" i="14"/>
  <c r="P73" i="14"/>
  <c r="V73" i="14"/>
  <c r="E74" i="14"/>
  <c r="J74" i="14"/>
  <c r="R74" i="14" s="1"/>
  <c r="L74" i="14"/>
  <c r="P74" i="14"/>
  <c r="V74" i="14"/>
  <c r="E75" i="14"/>
  <c r="J75" i="14"/>
  <c r="L75" i="14"/>
  <c r="P75" i="14"/>
  <c r="V75" i="14"/>
  <c r="E76" i="14"/>
  <c r="J76" i="14"/>
  <c r="L76" i="14"/>
  <c r="P76" i="14"/>
  <c r="E80" i="14"/>
  <c r="J80" i="14"/>
  <c r="R80" i="14" s="1"/>
  <c r="L80" i="14"/>
  <c r="P80" i="14"/>
  <c r="V80" i="14"/>
  <c r="E81" i="14"/>
  <c r="J81" i="14"/>
  <c r="R81" i="14" s="1"/>
  <c r="L81" i="14"/>
  <c r="P81" i="14"/>
  <c r="V81" i="14"/>
  <c r="J9" i="14"/>
  <c r="J10" i="14"/>
  <c r="J11" i="14"/>
  <c r="E20" i="14"/>
  <c r="J20" i="14"/>
  <c r="R20" i="14" s="1"/>
  <c r="L20" i="14"/>
  <c r="P20" i="14"/>
  <c r="U20" i="14"/>
  <c r="V20" i="14"/>
  <c r="E21" i="14"/>
  <c r="J21" i="14"/>
  <c r="R21" i="14" s="1"/>
  <c r="L21" i="14"/>
  <c r="P21" i="14"/>
  <c r="U21" i="14"/>
  <c r="V21" i="14"/>
  <c r="E22" i="14"/>
  <c r="J22" i="14"/>
  <c r="R22" i="14" s="1"/>
  <c r="L22" i="14"/>
  <c r="P22" i="14"/>
  <c r="V22" i="14"/>
  <c r="E23" i="14"/>
  <c r="J23" i="14"/>
  <c r="R23" i="14" s="1"/>
  <c r="L23" i="14"/>
  <c r="P23" i="14"/>
  <c r="V23" i="14"/>
  <c r="E24" i="14"/>
  <c r="J24" i="14"/>
  <c r="R24" i="14" s="1"/>
  <c r="L24" i="14"/>
  <c r="P24" i="14"/>
  <c r="V24" i="14"/>
  <c r="E25" i="14"/>
  <c r="J25" i="14"/>
  <c r="R25" i="14" s="1"/>
  <c r="L25" i="14"/>
  <c r="P25" i="14"/>
  <c r="V25" i="14"/>
  <c r="E26" i="14"/>
  <c r="J26" i="14"/>
  <c r="R26" i="14" s="1"/>
  <c r="L26" i="14"/>
  <c r="P26" i="14"/>
  <c r="V26" i="14"/>
  <c r="E27" i="14"/>
  <c r="J27" i="14"/>
  <c r="R27" i="14" s="1"/>
  <c r="L27" i="14"/>
  <c r="P27" i="14"/>
  <c r="V27" i="14"/>
  <c r="E28" i="14"/>
  <c r="J28" i="14"/>
  <c r="R28" i="14" s="1"/>
  <c r="L28" i="14"/>
  <c r="P28" i="14"/>
  <c r="V28" i="14"/>
  <c r="E29" i="14"/>
  <c r="J29" i="14"/>
  <c r="R29" i="14" s="1"/>
  <c r="L29" i="14"/>
  <c r="P29" i="14"/>
  <c r="V29" i="14"/>
  <c r="E33" i="14"/>
  <c r="J33" i="14"/>
  <c r="R33" i="14" s="1"/>
  <c r="L33" i="14"/>
  <c r="P33" i="14"/>
  <c r="V33" i="14"/>
  <c r="E34" i="14"/>
  <c r="J34" i="14"/>
  <c r="R34" i="14" s="1"/>
  <c r="L34" i="14"/>
  <c r="P34" i="14"/>
  <c r="V34" i="14"/>
  <c r="E35" i="14"/>
  <c r="J35" i="14"/>
  <c r="R35" i="14" s="1"/>
  <c r="L35" i="14"/>
  <c r="P35" i="14"/>
  <c r="V35" i="14"/>
  <c r="E36" i="14"/>
  <c r="J36" i="14"/>
  <c r="R36" i="14" s="1"/>
  <c r="L36" i="14"/>
  <c r="P36" i="14"/>
  <c r="V36" i="14"/>
  <c r="E37" i="14"/>
  <c r="J37" i="14"/>
  <c r="R37" i="14" s="1"/>
  <c r="L37" i="14"/>
  <c r="P37" i="14"/>
  <c r="V37" i="14"/>
  <c r="E38" i="14"/>
  <c r="J38" i="14"/>
  <c r="R38" i="14" s="1"/>
  <c r="L38" i="14"/>
  <c r="P38" i="14"/>
  <c r="V38" i="14"/>
  <c r="E39" i="14"/>
  <c r="J39" i="14"/>
  <c r="R39" i="14" s="1"/>
  <c r="L39" i="14"/>
  <c r="P39" i="14"/>
  <c r="V39" i="14"/>
  <c r="E40" i="14"/>
  <c r="J40" i="14"/>
  <c r="R40" i="14" s="1"/>
  <c r="L40" i="14"/>
  <c r="P40" i="14"/>
  <c r="V40" i="14"/>
  <c r="E41" i="14"/>
  <c r="J41" i="14"/>
  <c r="R41" i="14" s="1"/>
  <c r="L41" i="14"/>
  <c r="P41" i="14"/>
  <c r="V41" i="14"/>
  <c r="E42" i="14"/>
  <c r="J42" i="14"/>
  <c r="R42" i="14" s="1"/>
  <c r="L42" i="14"/>
  <c r="P42" i="14"/>
  <c r="V42" i="14"/>
  <c r="E43" i="14"/>
  <c r="J43" i="14"/>
  <c r="R43" i="14" s="1"/>
  <c r="L43" i="14"/>
  <c r="P43" i="14"/>
  <c r="V43" i="14"/>
  <c r="E44" i="14"/>
  <c r="J44" i="14"/>
  <c r="R44" i="14" s="1"/>
  <c r="L44" i="14"/>
  <c r="P44" i="14"/>
  <c r="V44" i="14"/>
  <c r="E45" i="14"/>
  <c r="J45" i="14"/>
  <c r="R45" i="14" s="1"/>
  <c r="L45" i="14"/>
  <c r="P45" i="14"/>
  <c r="V45" i="14"/>
  <c r="E46" i="14"/>
  <c r="J46" i="14"/>
  <c r="R46" i="14" s="1"/>
  <c r="L46" i="14"/>
  <c r="P46" i="14"/>
  <c r="V46" i="14"/>
  <c r="E47" i="14"/>
  <c r="J47" i="14"/>
  <c r="R47" i="14" s="1"/>
  <c r="L47" i="14"/>
  <c r="P47" i="14"/>
  <c r="V47" i="14"/>
  <c r="E48" i="14"/>
  <c r="J48" i="14"/>
  <c r="R48" i="14" s="1"/>
  <c r="L48" i="14"/>
  <c r="P48" i="14"/>
  <c r="V48" i="14"/>
  <c r="E49" i="14"/>
  <c r="J49" i="14"/>
  <c r="R49" i="14" s="1"/>
  <c r="L49" i="14"/>
  <c r="P49" i="14"/>
  <c r="V49" i="14"/>
  <c r="E50" i="14"/>
  <c r="J50" i="14"/>
  <c r="R50" i="14" s="1"/>
  <c r="L50" i="14"/>
  <c r="P50" i="14"/>
  <c r="V50" i="14"/>
  <c r="E51" i="14"/>
  <c r="J51" i="14"/>
  <c r="R51" i="14" s="1"/>
  <c r="L51" i="14"/>
  <c r="P51" i="14"/>
  <c r="V51" i="14"/>
  <c r="E52" i="14"/>
  <c r="J52" i="14"/>
  <c r="R52" i="14" s="1"/>
  <c r="L52" i="14"/>
  <c r="P52" i="14"/>
  <c r="V52" i="14"/>
  <c r="E53" i="14"/>
  <c r="J53" i="14"/>
  <c r="R53" i="14" s="1"/>
  <c r="L53" i="14"/>
  <c r="P53" i="14"/>
  <c r="V53" i="14"/>
  <c r="E54" i="14"/>
  <c r="J54" i="14"/>
  <c r="R54" i="14" s="1"/>
  <c r="L54" i="14"/>
  <c r="P54" i="14"/>
  <c r="V54" i="14"/>
  <c r="E55" i="14"/>
  <c r="J55" i="14"/>
  <c r="R55" i="14" s="1"/>
  <c r="L55" i="14"/>
  <c r="P55" i="14"/>
  <c r="V55" i="14"/>
  <c r="E56" i="14"/>
  <c r="J56" i="14"/>
  <c r="R56" i="14" s="1"/>
  <c r="L56" i="14"/>
  <c r="P56" i="14"/>
  <c r="V56" i="14"/>
  <c r="E57" i="14"/>
  <c r="J57" i="14"/>
  <c r="R57" i="14" s="1"/>
  <c r="L57" i="14"/>
  <c r="P57" i="14"/>
  <c r="V57" i="14"/>
  <c r="J16" i="14"/>
  <c r="R16" i="14" s="1"/>
  <c r="L16" i="14"/>
  <c r="P16" i="14"/>
  <c r="U16" i="14"/>
  <c r="V16" i="14"/>
  <c r="M72" i="14" l="1"/>
  <c r="M51" i="14"/>
  <c r="Y51" i="14" s="1"/>
  <c r="Z51" i="14" s="1"/>
  <c r="AA51" i="14" s="1"/>
  <c r="M35" i="14"/>
  <c r="M75" i="14"/>
  <c r="M20" i="14"/>
  <c r="Y20" i="14" s="1"/>
  <c r="Z20" i="14" s="1"/>
  <c r="AA20" i="14" s="1"/>
  <c r="M39" i="14"/>
  <c r="Y39" i="14" s="1"/>
  <c r="Z39" i="14" s="1"/>
  <c r="AA39" i="14" s="1"/>
  <c r="M80" i="14"/>
  <c r="R75" i="14"/>
  <c r="Y75" i="14" s="1"/>
  <c r="Z75" i="14" s="1"/>
  <c r="AA75" i="14" s="1"/>
  <c r="M67" i="14"/>
  <c r="Y67" i="14" s="1"/>
  <c r="Z67" i="14" s="1"/>
  <c r="AA67" i="14" s="1"/>
  <c r="M79" i="14"/>
  <c r="Y79" i="14" s="1"/>
  <c r="Z79" i="14" s="1"/>
  <c r="AA79" i="14" s="1"/>
  <c r="M71" i="14"/>
  <c r="M69" i="14"/>
  <c r="Y69" i="14" s="1"/>
  <c r="Z69" i="14" s="1"/>
  <c r="AA69" i="14" s="1"/>
  <c r="M63" i="14"/>
  <c r="Y63" i="14" s="1"/>
  <c r="Z63" i="14" s="1"/>
  <c r="AA63" i="14" s="1"/>
  <c r="R76" i="14"/>
  <c r="V76" i="14"/>
  <c r="M55" i="14"/>
  <c r="Y55" i="14" s="1"/>
  <c r="Z55" i="14" s="1"/>
  <c r="AA55" i="14" s="1"/>
  <c r="M53" i="14"/>
  <c r="Y53" i="14" s="1"/>
  <c r="Z53" i="14" s="1"/>
  <c r="AA53" i="14" s="1"/>
  <c r="M37" i="14"/>
  <c r="Y37" i="14" s="1"/>
  <c r="Z37" i="14" s="1"/>
  <c r="AA37" i="14" s="1"/>
  <c r="M61" i="14"/>
  <c r="Y61" i="14" s="1"/>
  <c r="Z61" i="14" s="1"/>
  <c r="AA61" i="14" s="1"/>
  <c r="M43" i="14"/>
  <c r="Y43" i="14" s="1"/>
  <c r="Z43" i="14" s="1"/>
  <c r="AA43" i="14" s="1"/>
  <c r="M81" i="14"/>
  <c r="Y81" i="14" s="1"/>
  <c r="Z81" i="14" s="1"/>
  <c r="AA81" i="14" s="1"/>
  <c r="Y77" i="14"/>
  <c r="Z77" i="14" s="1"/>
  <c r="AA77" i="14" s="1"/>
  <c r="M76" i="14"/>
  <c r="M73" i="14"/>
  <c r="Y73" i="14" s="1"/>
  <c r="Z73" i="14" s="1"/>
  <c r="AA73" i="14" s="1"/>
  <c r="Y71" i="14"/>
  <c r="Z71" i="14" s="1"/>
  <c r="AA71" i="14" s="1"/>
  <c r="M68" i="14"/>
  <c r="Y68" i="14" s="1"/>
  <c r="Z68" i="14" s="1"/>
  <c r="AA68" i="14" s="1"/>
  <c r="M47" i="14"/>
  <c r="Y47" i="14" s="1"/>
  <c r="Z47" i="14" s="1"/>
  <c r="AA47" i="14" s="1"/>
  <c r="M45" i="14"/>
  <c r="Y45" i="14" s="1"/>
  <c r="Z45" i="14" s="1"/>
  <c r="AA45" i="14" s="1"/>
  <c r="M74" i="14"/>
  <c r="Y74" i="14" s="1"/>
  <c r="Z74" i="14" s="1"/>
  <c r="AA74" i="14" s="1"/>
  <c r="M70" i="14"/>
  <c r="M78" i="14"/>
  <c r="Y78" i="14" s="1"/>
  <c r="Z78" i="14" s="1"/>
  <c r="AA78" i="14" s="1"/>
  <c r="M57" i="14"/>
  <c r="Y57" i="14" s="1"/>
  <c r="Z57" i="14" s="1"/>
  <c r="AA57" i="14" s="1"/>
  <c r="M49" i="14"/>
  <c r="Y49" i="14" s="1"/>
  <c r="Z49" i="14" s="1"/>
  <c r="AA49" i="14" s="1"/>
  <c r="M41" i="14"/>
  <c r="Y41" i="14" s="1"/>
  <c r="Z41" i="14" s="1"/>
  <c r="AA41" i="14" s="1"/>
  <c r="M33" i="14"/>
  <c r="M62" i="14"/>
  <c r="M56" i="14"/>
  <c r="Y56" i="14" s="1"/>
  <c r="Z56" i="14" s="1"/>
  <c r="AA56" i="14" s="1"/>
  <c r="M52" i="14"/>
  <c r="Y52" i="14" s="1"/>
  <c r="Z52" i="14" s="1"/>
  <c r="AA52" i="14" s="1"/>
  <c r="M48" i="14"/>
  <c r="Y48" i="14" s="1"/>
  <c r="Z48" i="14" s="1"/>
  <c r="AA48" i="14" s="1"/>
  <c r="M44" i="14"/>
  <c r="Y44" i="14" s="1"/>
  <c r="Z44" i="14" s="1"/>
  <c r="AA44" i="14" s="1"/>
  <c r="M40" i="14"/>
  <c r="Y40" i="14" s="1"/>
  <c r="Z40" i="14" s="1"/>
  <c r="AA40" i="14" s="1"/>
  <c r="M36" i="14"/>
  <c r="Y36" i="14" s="1"/>
  <c r="Z36" i="14" s="1"/>
  <c r="AA36" i="14" s="1"/>
  <c r="M29" i="14"/>
  <c r="Y29" i="14" s="1"/>
  <c r="Z29" i="14" s="1"/>
  <c r="AA29" i="14" s="1"/>
  <c r="M27" i="14"/>
  <c r="Y27" i="14" s="1"/>
  <c r="Z27" i="14" s="1"/>
  <c r="AA27" i="14" s="1"/>
  <c r="M25" i="14"/>
  <c r="Y25" i="14" s="1"/>
  <c r="Z25" i="14" s="1"/>
  <c r="AA25" i="14" s="1"/>
  <c r="M23" i="14"/>
  <c r="Y23" i="14" s="1"/>
  <c r="Z23" i="14" s="1"/>
  <c r="AA23" i="14" s="1"/>
  <c r="Y80" i="14"/>
  <c r="Z80" i="14" s="1"/>
  <c r="AA80" i="14" s="1"/>
  <c r="Y72" i="14"/>
  <c r="Z72" i="14" s="1"/>
  <c r="AA72" i="14" s="1"/>
  <c r="M21" i="14"/>
  <c r="Y21" i="14" s="1"/>
  <c r="Z21" i="14" s="1"/>
  <c r="AA21" i="14" s="1"/>
  <c r="M54" i="14"/>
  <c r="Y54" i="14" s="1"/>
  <c r="Z54" i="14" s="1"/>
  <c r="AA54" i="14" s="1"/>
  <c r="M50" i="14"/>
  <c r="Y50" i="14" s="1"/>
  <c r="Z50" i="14" s="1"/>
  <c r="AA50" i="14" s="1"/>
  <c r="M46" i="14"/>
  <c r="M42" i="14"/>
  <c r="Y42" i="14" s="1"/>
  <c r="Z42" i="14" s="1"/>
  <c r="AA42" i="14" s="1"/>
  <c r="M38" i="14"/>
  <c r="Y38" i="14" s="1"/>
  <c r="Z38" i="14" s="1"/>
  <c r="AA38" i="14" s="1"/>
  <c r="Y35" i="14"/>
  <c r="Z35" i="14" s="1"/>
  <c r="AA35" i="14" s="1"/>
  <c r="M34" i="14"/>
  <c r="Y34" i="14" s="1"/>
  <c r="Z34" i="14" s="1"/>
  <c r="AA34" i="14" s="1"/>
  <c r="Y33" i="14"/>
  <c r="Z33" i="14" s="1"/>
  <c r="AA33" i="14" s="1"/>
  <c r="M16" i="14"/>
  <c r="Y16" i="14" s="1"/>
  <c r="Z16" i="14" s="1"/>
  <c r="AA16" i="14" s="1"/>
  <c r="M28" i="14"/>
  <c r="M26" i="14"/>
  <c r="M24" i="14"/>
  <c r="M22" i="14"/>
  <c r="Y22" i="14" s="1"/>
  <c r="Z22" i="14" s="1"/>
  <c r="AA22" i="14" s="1"/>
  <c r="L9" i="14"/>
  <c r="L10" i="14"/>
  <c r="L11" i="14"/>
  <c r="L12" i="14"/>
  <c r="L13" i="14"/>
  <c r="L14" i="14"/>
  <c r="L15" i="14"/>
  <c r="L82" i="14"/>
  <c r="L83" i="14"/>
  <c r="L84" i="14"/>
  <c r="L85" i="14"/>
  <c r="L86" i="14"/>
  <c r="L87" i="14"/>
  <c r="L88" i="14"/>
  <c r="L89" i="14"/>
  <c r="L90" i="14"/>
  <c r="Y76" i="14" l="1"/>
  <c r="Z76" i="14" s="1"/>
  <c r="AA76" i="14" s="1"/>
  <c r="Y70" i="14"/>
  <c r="Z70" i="14" s="1"/>
  <c r="AA70" i="14" s="1"/>
  <c r="Y62" i="14"/>
  <c r="Z62" i="14" s="1"/>
  <c r="AA62" i="14" s="1"/>
  <c r="Y46" i="14"/>
  <c r="Z46" i="14" s="1"/>
  <c r="AA46" i="14" s="1"/>
  <c r="Y28" i="14"/>
  <c r="Z28" i="14" s="1"/>
  <c r="AA28" i="14" s="1"/>
  <c r="Y24" i="14"/>
  <c r="Z24" i="14" s="1"/>
  <c r="AA24" i="14" s="1"/>
  <c r="Y26" i="14"/>
  <c r="Z26" i="14" s="1"/>
  <c r="AA26" i="14" s="1"/>
  <c r="V88" i="14"/>
  <c r="V89" i="14"/>
  <c r="V90" i="14"/>
  <c r="V85" i="14"/>
  <c r="P89" i="14"/>
  <c r="J89" i="14"/>
  <c r="R89" i="14" s="1"/>
  <c r="E89" i="14"/>
  <c r="P82" i="14"/>
  <c r="V82" i="14"/>
  <c r="E82" i="14"/>
  <c r="J82" i="14"/>
  <c r="M82" i="14" s="1"/>
  <c r="R82" i="14" l="1"/>
  <c r="Y82" i="14" s="1"/>
  <c r="Z82" i="14" s="1"/>
  <c r="AA82" i="14" s="1"/>
  <c r="M89" i="14"/>
  <c r="Y89" i="14" s="1"/>
  <c r="Z89" i="14" s="1"/>
  <c r="AA89" i="14" s="1"/>
  <c r="AE95" i="14"/>
  <c r="AD95" i="14"/>
  <c r="AA95" i="14"/>
  <c r="X94" i="14"/>
  <c r="T94" i="14"/>
  <c r="S94" i="14"/>
  <c r="Q94" i="14"/>
  <c r="Q95" i="14" s="1"/>
  <c r="O94" i="14"/>
  <c r="N94" i="14"/>
  <c r="P90" i="14"/>
  <c r="J90" i="14"/>
  <c r="R90" i="14" s="1"/>
  <c r="E90" i="14"/>
  <c r="P88" i="14"/>
  <c r="J88" i="14"/>
  <c r="R88" i="14" s="1"/>
  <c r="E88" i="14"/>
  <c r="V87" i="14"/>
  <c r="P87" i="14"/>
  <c r="J87" i="14"/>
  <c r="E87" i="14"/>
  <c r="V86" i="14"/>
  <c r="P86" i="14"/>
  <c r="J86" i="14"/>
  <c r="R86" i="14" s="1"/>
  <c r="E86" i="14"/>
  <c r="P85" i="14"/>
  <c r="E85" i="14"/>
  <c r="V84" i="14"/>
  <c r="P84" i="14"/>
  <c r="J84" i="14"/>
  <c r="R84" i="14" s="1"/>
  <c r="E84" i="14"/>
  <c r="V83" i="14"/>
  <c r="P83" i="14"/>
  <c r="E83" i="14"/>
  <c r="E16" i="14"/>
  <c r="V15" i="14"/>
  <c r="U15" i="14"/>
  <c r="P15" i="14"/>
  <c r="J15" i="14"/>
  <c r="E15" i="14"/>
  <c r="V14" i="14"/>
  <c r="P14" i="14"/>
  <c r="J14" i="14"/>
  <c r="E14" i="14"/>
  <c r="V13" i="14"/>
  <c r="J13" i="14"/>
  <c r="E13" i="14"/>
  <c r="V12" i="14"/>
  <c r="P12" i="14"/>
  <c r="U12" i="14"/>
  <c r="E12" i="14"/>
  <c r="V11" i="14"/>
  <c r="U11" i="14"/>
  <c r="P11" i="14"/>
  <c r="E11" i="14"/>
  <c r="V10" i="14"/>
  <c r="P10" i="14"/>
  <c r="R10" i="14"/>
  <c r="E10" i="14"/>
  <c r="V9" i="14"/>
  <c r="U9" i="14"/>
  <c r="P9" i="14"/>
  <c r="R9" i="14"/>
  <c r="E9" i="14"/>
  <c r="D3" i="14"/>
  <c r="W70" i="14" l="1"/>
  <c r="AB70" i="14" s="1"/>
  <c r="AC70" i="14" s="1"/>
  <c r="AD70" i="14" s="1"/>
  <c r="W74" i="14"/>
  <c r="AB74" i="14" s="1"/>
  <c r="AC74" i="14" s="1"/>
  <c r="AD74" i="14" s="1"/>
  <c r="W78" i="14"/>
  <c r="AB78" i="14" s="1"/>
  <c r="AC78" i="14" s="1"/>
  <c r="AD78" i="14" s="1"/>
  <c r="W62" i="14"/>
  <c r="AB62" i="14" s="1"/>
  <c r="AC62" i="14" s="1"/>
  <c r="AD62" i="14" s="1"/>
  <c r="W72" i="14"/>
  <c r="AB72" i="14" s="1"/>
  <c r="AC72" i="14" s="1"/>
  <c r="AD72" i="14" s="1"/>
  <c r="W68" i="14"/>
  <c r="AB68" i="14" s="1"/>
  <c r="AC68" i="14" s="1"/>
  <c r="AD68" i="14" s="1"/>
  <c r="W79" i="14"/>
  <c r="AB79" i="14" s="1"/>
  <c r="AC79" i="14" s="1"/>
  <c r="AD79" i="14" s="1"/>
  <c r="W75" i="14"/>
  <c r="AB75" i="14" s="1"/>
  <c r="AC75" i="14" s="1"/>
  <c r="AD75" i="14" s="1"/>
  <c r="W67" i="14"/>
  <c r="AB67" i="14" s="1"/>
  <c r="AC67" i="14" s="1"/>
  <c r="AD67" i="14" s="1"/>
  <c r="W80" i="14"/>
  <c r="AB80" i="14" s="1"/>
  <c r="W76" i="14"/>
  <c r="AB76" i="14" s="1"/>
  <c r="AC76" i="14" s="1"/>
  <c r="AD76" i="14" s="1"/>
  <c r="W61" i="14"/>
  <c r="AB61" i="14" s="1"/>
  <c r="AC61" i="14" s="1"/>
  <c r="AD61" i="14" s="1"/>
  <c r="W71" i="14"/>
  <c r="AB71" i="14" s="1"/>
  <c r="AC71" i="14" s="1"/>
  <c r="AD71" i="14" s="1"/>
  <c r="W63" i="14"/>
  <c r="AB63" i="14" s="1"/>
  <c r="AC63" i="14" s="1"/>
  <c r="AD63" i="14" s="1"/>
  <c r="W81" i="14"/>
  <c r="AB81" i="14" s="1"/>
  <c r="AC81" i="14" s="1"/>
  <c r="AD81" i="14" s="1"/>
  <c r="W73" i="14"/>
  <c r="AB73" i="14" s="1"/>
  <c r="AC73" i="14" s="1"/>
  <c r="AD73" i="14" s="1"/>
  <c r="W69" i="14"/>
  <c r="AB69" i="14" s="1"/>
  <c r="AC69" i="14" s="1"/>
  <c r="AD69" i="14" s="1"/>
  <c r="W77" i="14"/>
  <c r="AB77" i="14" s="1"/>
  <c r="AC77" i="14" s="1"/>
  <c r="AD77" i="14" s="1"/>
  <c r="W82" i="14"/>
  <c r="AB82" i="14" s="1"/>
  <c r="AC82" i="14" s="1"/>
  <c r="AD82" i="14" s="1"/>
  <c r="W56" i="14"/>
  <c r="AB56" i="14" s="1"/>
  <c r="AC56" i="14" s="1"/>
  <c r="AD56" i="14" s="1"/>
  <c r="W48" i="14"/>
  <c r="AB48" i="14" s="1"/>
  <c r="AC48" i="14" s="1"/>
  <c r="AD48" i="14" s="1"/>
  <c r="W40" i="14"/>
  <c r="AB40" i="14" s="1"/>
  <c r="AC40" i="14" s="1"/>
  <c r="AD40" i="14" s="1"/>
  <c r="W29" i="14"/>
  <c r="AB29" i="14" s="1"/>
  <c r="AC29" i="14" s="1"/>
  <c r="W23" i="14"/>
  <c r="AB23" i="14" s="1"/>
  <c r="AC23" i="14" s="1"/>
  <c r="W54" i="14"/>
  <c r="AB54" i="14" s="1"/>
  <c r="AC54" i="14" s="1"/>
  <c r="AD54" i="14" s="1"/>
  <c r="W46" i="14"/>
  <c r="AB46" i="14" s="1"/>
  <c r="AC46" i="14" s="1"/>
  <c r="AD46" i="14" s="1"/>
  <c r="W38" i="14"/>
  <c r="AB38" i="14" s="1"/>
  <c r="AC38" i="14" s="1"/>
  <c r="AD38" i="14" s="1"/>
  <c r="W28" i="14"/>
  <c r="AB28" i="14" s="1"/>
  <c r="AC28" i="14" s="1"/>
  <c r="W24" i="14"/>
  <c r="AB24" i="14" s="1"/>
  <c r="AC24" i="14" s="1"/>
  <c r="W20" i="14"/>
  <c r="AB20" i="14" s="1"/>
  <c r="AC20" i="14" s="1"/>
  <c r="W55" i="14"/>
  <c r="AB55" i="14" s="1"/>
  <c r="AC55" i="14" s="1"/>
  <c r="AD55" i="14" s="1"/>
  <c r="W43" i="14"/>
  <c r="AB43" i="14" s="1"/>
  <c r="AC43" i="14" s="1"/>
  <c r="AD43" i="14" s="1"/>
  <c r="W57" i="14"/>
  <c r="AB57" i="14" s="1"/>
  <c r="W53" i="14"/>
  <c r="AB53" i="14" s="1"/>
  <c r="AC53" i="14" s="1"/>
  <c r="AD53" i="14" s="1"/>
  <c r="W49" i="14"/>
  <c r="AB49" i="14" s="1"/>
  <c r="AC49" i="14" s="1"/>
  <c r="AD49" i="14" s="1"/>
  <c r="W37" i="14"/>
  <c r="AB37" i="14" s="1"/>
  <c r="AC37" i="14" s="1"/>
  <c r="AD37" i="14" s="1"/>
  <c r="W33" i="14"/>
  <c r="AB33" i="14" s="1"/>
  <c r="AC33" i="14" s="1"/>
  <c r="AD33" i="14" s="1"/>
  <c r="W52" i="14"/>
  <c r="AB52" i="14" s="1"/>
  <c r="AC52" i="14" s="1"/>
  <c r="AD52" i="14" s="1"/>
  <c r="W44" i="14"/>
  <c r="AB44" i="14" s="1"/>
  <c r="AC44" i="14" s="1"/>
  <c r="AD44" i="14" s="1"/>
  <c r="W36" i="14"/>
  <c r="AB36" i="14" s="1"/>
  <c r="AC36" i="14" s="1"/>
  <c r="AD36" i="14" s="1"/>
  <c r="W27" i="14"/>
  <c r="AB27" i="14" s="1"/>
  <c r="AC27" i="14" s="1"/>
  <c r="W21" i="14"/>
  <c r="AB21" i="14" s="1"/>
  <c r="AC21" i="14" s="1"/>
  <c r="W50" i="14"/>
  <c r="AB50" i="14" s="1"/>
  <c r="AC50" i="14" s="1"/>
  <c r="AD50" i="14" s="1"/>
  <c r="W42" i="14"/>
  <c r="AB42" i="14" s="1"/>
  <c r="AC42" i="14" s="1"/>
  <c r="AD42" i="14" s="1"/>
  <c r="W34" i="14"/>
  <c r="AB34" i="14" s="1"/>
  <c r="AC34" i="14" s="1"/>
  <c r="AD34" i="14" s="1"/>
  <c r="W26" i="14"/>
  <c r="AB26" i="14" s="1"/>
  <c r="AC26" i="14" s="1"/>
  <c r="W22" i="14"/>
  <c r="AB22" i="14" s="1"/>
  <c r="AC22" i="14" s="1"/>
  <c r="W25" i="14"/>
  <c r="AB25" i="14" s="1"/>
  <c r="AC25" i="14" s="1"/>
  <c r="W47" i="14"/>
  <c r="AB47" i="14" s="1"/>
  <c r="AC47" i="14" s="1"/>
  <c r="AD47" i="14" s="1"/>
  <c r="W39" i="14"/>
  <c r="AB39" i="14" s="1"/>
  <c r="AC39" i="14" s="1"/>
  <c r="AD39" i="14" s="1"/>
  <c r="W51" i="14"/>
  <c r="AB51" i="14" s="1"/>
  <c r="AC51" i="14" s="1"/>
  <c r="AD51" i="14" s="1"/>
  <c r="W35" i="14"/>
  <c r="AB35" i="14" s="1"/>
  <c r="AC35" i="14" s="1"/>
  <c r="AD35" i="14" s="1"/>
  <c r="W45" i="14"/>
  <c r="AB45" i="14" s="1"/>
  <c r="AC45" i="14" s="1"/>
  <c r="AD45" i="14" s="1"/>
  <c r="W41" i="14"/>
  <c r="AB41" i="14" s="1"/>
  <c r="AC41" i="14" s="1"/>
  <c r="AD41" i="14" s="1"/>
  <c r="W16" i="14"/>
  <c r="AB16" i="14" s="1"/>
  <c r="AC16" i="14" s="1"/>
  <c r="W85" i="14"/>
  <c r="W88" i="14"/>
  <c r="W14" i="14"/>
  <c r="W89" i="14"/>
  <c r="AB89" i="14" s="1"/>
  <c r="AC89" i="14" s="1"/>
  <c r="AD89" i="14" s="1"/>
  <c r="W90" i="14"/>
  <c r="M15" i="14"/>
  <c r="W10" i="14"/>
  <c r="W87" i="14"/>
  <c r="W12" i="14"/>
  <c r="P94" i="14"/>
  <c r="W11" i="14"/>
  <c r="W15" i="14"/>
  <c r="W83" i="14"/>
  <c r="W84" i="14"/>
  <c r="J85" i="14"/>
  <c r="R85" i="14" s="1"/>
  <c r="W13" i="14"/>
  <c r="W9" i="14"/>
  <c r="W86" i="14"/>
  <c r="M14" i="14"/>
  <c r="R14" i="14"/>
  <c r="V94" i="14"/>
  <c r="V95" i="14" s="1"/>
  <c r="M10" i="14"/>
  <c r="J83" i="14"/>
  <c r="R87" i="14"/>
  <c r="M9" i="14"/>
  <c r="J12" i="14"/>
  <c r="U14" i="14"/>
  <c r="R15" i="14"/>
  <c r="M84" i="14"/>
  <c r="Y84" i="14" s="1"/>
  <c r="Z84" i="14" s="1"/>
  <c r="AA84" i="14" s="1"/>
  <c r="M87" i="14"/>
  <c r="M88" i="14"/>
  <c r="Y88" i="14" s="1"/>
  <c r="Z88" i="14" s="1"/>
  <c r="AA88" i="14" s="1"/>
  <c r="I94" i="14"/>
  <c r="I95" i="14" s="1"/>
  <c r="U10" i="14"/>
  <c r="R11" i="14"/>
  <c r="M11" i="14"/>
  <c r="R13" i="14"/>
  <c r="M13" i="14"/>
  <c r="M86" i="14"/>
  <c r="M90" i="14"/>
  <c r="Y90" i="14" s="1"/>
  <c r="Z90" i="14" s="1"/>
  <c r="AA90" i="14" s="1"/>
  <c r="AC80" i="14" l="1"/>
  <c r="AD80" i="14" s="1"/>
  <c r="AD26" i="14"/>
  <c r="AJ26" i="14"/>
  <c r="AD20" i="14"/>
  <c r="AJ20" i="14"/>
  <c r="AD24" i="14"/>
  <c r="AJ24" i="14"/>
  <c r="AD28" i="14"/>
  <c r="AJ28" i="14"/>
  <c r="AD21" i="14"/>
  <c r="AJ21" i="14"/>
  <c r="AD27" i="14"/>
  <c r="AJ27" i="14"/>
  <c r="AC57" i="14"/>
  <c r="AD57" i="14" s="1"/>
  <c r="AD25" i="14"/>
  <c r="AJ25" i="14"/>
  <c r="AD23" i="14"/>
  <c r="AJ23" i="14"/>
  <c r="AD16" i="14"/>
  <c r="AJ16" i="14"/>
  <c r="AD22" i="14"/>
  <c r="AJ22" i="14"/>
  <c r="AD29" i="14"/>
  <c r="AJ29" i="14"/>
  <c r="M85" i="14"/>
  <c r="Y85" i="14" s="1"/>
  <c r="Z85" i="14" s="1"/>
  <c r="AA85" i="14" s="1"/>
  <c r="Y15" i="14"/>
  <c r="Z15" i="14" s="1"/>
  <c r="AA15" i="14" s="1"/>
  <c r="AB86" i="14"/>
  <c r="AC86" i="14" s="1"/>
  <c r="AD86" i="14" s="1"/>
  <c r="AB88" i="14"/>
  <c r="AC88" i="14" s="1"/>
  <c r="AD88" i="14" s="1"/>
  <c r="AB15" i="14"/>
  <c r="AF15" i="14" s="1"/>
  <c r="AG15" i="14" s="1"/>
  <c r="Y87" i="14"/>
  <c r="Z87" i="14" s="1"/>
  <c r="AA87" i="14" s="1"/>
  <c r="Y10" i="14"/>
  <c r="Z10" i="14" s="1"/>
  <c r="AA10" i="14" s="1"/>
  <c r="AB9" i="14"/>
  <c r="AC9" i="14" s="1"/>
  <c r="AB84" i="14"/>
  <c r="AC84" i="14" s="1"/>
  <c r="AD84" i="14" s="1"/>
  <c r="AB14" i="14"/>
  <c r="AF14" i="14" s="1"/>
  <c r="AG14" i="14" s="1"/>
  <c r="Y9" i="14"/>
  <c r="Z9" i="14" s="1"/>
  <c r="AA9" i="14" s="1"/>
  <c r="AB11" i="14"/>
  <c r="Y11" i="14"/>
  <c r="Z11" i="14" s="1"/>
  <c r="AA11" i="14" s="1"/>
  <c r="M83" i="14"/>
  <c r="R83" i="14"/>
  <c r="Y13" i="14"/>
  <c r="Z13" i="14" s="1"/>
  <c r="AA13" i="14" s="1"/>
  <c r="W94" i="14"/>
  <c r="W95" i="14" s="1"/>
  <c r="Y86" i="14"/>
  <c r="Z86" i="14" s="1"/>
  <c r="AA86" i="14" s="1"/>
  <c r="J94" i="14"/>
  <c r="J95" i="14" s="1"/>
  <c r="AB90" i="14"/>
  <c r="AC90" i="14" s="1"/>
  <c r="AD90" i="14" s="1"/>
  <c r="AB13" i="14"/>
  <c r="AB87" i="14"/>
  <c r="AC87" i="14" s="1"/>
  <c r="AD87" i="14" s="1"/>
  <c r="U94" i="14"/>
  <c r="Y14" i="14"/>
  <c r="Z14" i="14" s="1"/>
  <c r="AA14" i="14" s="1"/>
  <c r="R12" i="14"/>
  <c r="M12" i="14"/>
  <c r="AB10" i="14"/>
  <c r="AD9" i="14" l="1"/>
  <c r="AJ9" i="14"/>
  <c r="AB85" i="14"/>
  <c r="AC85" i="14" s="1"/>
  <c r="AD85" i="14" s="1"/>
  <c r="AF16" i="14"/>
  <c r="AG16" i="14" s="1"/>
  <c r="AC14" i="14"/>
  <c r="AF9" i="14"/>
  <c r="AG9" i="14" s="1"/>
  <c r="AC15" i="14"/>
  <c r="M94" i="14"/>
  <c r="M95" i="14" s="1"/>
  <c r="R94" i="14"/>
  <c r="R95" i="14" s="1"/>
  <c r="AF11" i="14"/>
  <c r="AG11" i="14" s="1"/>
  <c r="AC11" i="14"/>
  <c r="Y12" i="14"/>
  <c r="AB12" i="14"/>
  <c r="AC13" i="14"/>
  <c r="AF13" i="14"/>
  <c r="AG13" i="14" s="1"/>
  <c r="AF10" i="14"/>
  <c r="AG10" i="14" s="1"/>
  <c r="AC10" i="14"/>
  <c r="Y83" i="14"/>
  <c r="Z83" i="14" s="1"/>
  <c r="AA83" i="14" s="1"/>
  <c r="AB83" i="14"/>
  <c r="AC83" i="14" s="1"/>
  <c r="AD83" i="14" s="1"/>
  <c r="AF8" i="14"/>
  <c r="AD15" i="14" l="1"/>
  <c r="AJ15" i="14"/>
  <c r="AD13" i="14"/>
  <c r="AJ13" i="14"/>
  <c r="AD14" i="14"/>
  <c r="AJ14" i="14"/>
  <c r="AD11" i="14"/>
  <c r="AJ11" i="14"/>
  <c r="AD10" i="14"/>
  <c r="AJ10" i="14"/>
  <c r="AC12" i="14"/>
  <c r="AF12" i="14"/>
  <c r="AG12" i="14" s="1"/>
  <c r="AB94" i="14"/>
  <c r="AB95" i="14" s="1"/>
  <c r="Z12" i="14"/>
  <c r="Y94" i="14"/>
  <c r="Y95" i="14" s="1"/>
  <c r="AG8" i="14"/>
  <c r="AD12" i="14" l="1"/>
  <c r="AJ12" i="14"/>
  <c r="AC94" i="14"/>
  <c r="AC95" i="14" s="1"/>
  <c r="AA12" i="14"/>
  <c r="Z94" i="14"/>
  <c r="Z95" i="14" s="1"/>
  <c r="AF94" i="14"/>
  <c r="AF95" i="14" l="1"/>
  <c r="AG94" i="14"/>
  <c r="AG95" i="14" s="1"/>
  <c r="B5" i="2"/>
  <c r="C5" i="2" s="1"/>
  <c r="C9" i="2"/>
</calcChain>
</file>

<file path=xl/sharedStrings.xml><?xml version="1.0" encoding="utf-8"?>
<sst xmlns="http://schemas.openxmlformats.org/spreadsheetml/2006/main" count="138" uniqueCount="125">
  <si>
    <t>ACER DISPLAY TECHNOLIGY</t>
  </si>
  <si>
    <t>日期:</t>
  </si>
  <si>
    <t>方位</t>
  </si>
  <si>
    <t>環境需求</t>
  </si>
  <si>
    <t>環境焓值</t>
  </si>
  <si>
    <t>空調需求</t>
  </si>
  <si>
    <t>空間大小</t>
  </si>
  <si>
    <t>標準空間負載</t>
  </si>
  <si>
    <t>實際空間負載</t>
  </si>
  <si>
    <t>空間負載</t>
  </si>
  <si>
    <t>窗戶大小負載</t>
  </si>
  <si>
    <t>不含外氣負載合計</t>
  </si>
  <si>
    <t>含外氣負載合計</t>
  </si>
  <si>
    <t>空調設備</t>
  </si>
  <si>
    <t>冬季負載合計</t>
  </si>
  <si>
    <t>(Kcal/Kg)</t>
  </si>
  <si>
    <t>(m2)</t>
  </si>
  <si>
    <t>(Kcal/h)</t>
  </si>
  <si>
    <t>(Kcal/h.m2)</t>
  </si>
  <si>
    <t>Hp</t>
  </si>
  <si>
    <t>W</t>
  </si>
  <si>
    <t>CMH</t>
  </si>
  <si>
    <t>(RT)</t>
  </si>
  <si>
    <t>專案負責人</t>
  </si>
  <si>
    <t xml:space="preserve">  設備發熱量估算 </t>
  </si>
  <si>
    <t>外 氣 負 載</t>
  </si>
  <si>
    <t>高度(m)</t>
  </si>
  <si>
    <t>(坪)</t>
  </si>
  <si>
    <t>(Kcal/h.坪)</t>
  </si>
  <si>
    <t>(人)</t>
  </si>
  <si>
    <t>(坪/RT)</t>
  </si>
  <si>
    <t>小  計</t>
  </si>
  <si>
    <t>排氣</t>
    <phoneticPr fontId="1" type="noConversion"/>
  </si>
  <si>
    <t>人員負載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</si>
  <si>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</si>
  <si>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林志榮</t>
    <phoneticPr fontId="1" type="noConversion"/>
  </si>
  <si>
    <t>周貞浩</t>
    <phoneticPr fontId="1" type="noConversion"/>
  </si>
  <si>
    <t>(坪/T)</t>
    <phoneticPr fontId="1" type="noConversion"/>
  </si>
  <si>
    <t>X</t>
    <phoneticPr fontId="1" type="noConversion"/>
  </si>
  <si>
    <t>Y</t>
    <phoneticPr fontId="1" type="noConversion"/>
  </si>
  <si>
    <t>區間用 途別</t>
    <phoneticPr fontId="1" type="noConversion"/>
  </si>
  <si>
    <t>(%RH)</t>
  </si>
  <si>
    <r>
      <t>(</t>
    </r>
    <r>
      <rPr>
        <vertAlign val="superscript"/>
        <sz val="8"/>
        <color indexed="8"/>
        <rFont val="標楷體"/>
        <family val="4"/>
        <charset val="136"/>
      </rPr>
      <t>o</t>
    </r>
    <r>
      <rPr>
        <sz val="8"/>
        <color indexed="8"/>
        <rFont val="標楷體"/>
        <family val="4"/>
        <charset val="136"/>
      </rPr>
      <t>Cdb)</t>
    </r>
  </si>
  <si>
    <t>審 核</t>
    <phoneticPr fontId="1" type="noConversion"/>
  </si>
  <si>
    <t>105/06/02</t>
    <phoneticPr fontId="1" type="noConversion"/>
  </si>
  <si>
    <t>不含外氣</t>
  </si>
  <si>
    <t>含外氣</t>
    <phoneticPr fontId="1" type="noConversion"/>
  </si>
  <si>
    <t>不含外氣</t>
    <phoneticPr fontId="1" type="noConversion"/>
  </si>
  <si>
    <t>800*7=  14RT</t>
    <phoneticPr fontId="1" type="noConversion"/>
  </si>
  <si>
    <t>400*11= 11RT</t>
    <phoneticPr fontId="1" type="noConversion"/>
  </si>
  <si>
    <t>600*8=  12RT</t>
    <phoneticPr fontId="1" type="noConversion"/>
  </si>
  <si>
    <t>1000*6=17.5RT</t>
    <phoneticPr fontId="1" type="noConversion"/>
  </si>
  <si>
    <t>共93.5RT</t>
    <phoneticPr fontId="1" type="noConversion"/>
  </si>
  <si>
    <t>1200*10=39RT</t>
    <phoneticPr fontId="1" type="noConversion"/>
  </si>
  <si>
    <t>A棟1F</t>
    <phoneticPr fontId="1" type="noConversion"/>
  </si>
  <si>
    <t>訓練中心</t>
    <phoneticPr fontId="1" type="noConversion"/>
  </si>
  <si>
    <t>品保</t>
    <phoneticPr fontId="1" type="noConversion"/>
  </si>
  <si>
    <t>廚藝教室</t>
    <phoneticPr fontId="1" type="noConversion"/>
  </si>
  <si>
    <t>旗艦店</t>
    <phoneticPr fontId="1" type="noConversion"/>
  </si>
  <si>
    <t>品牌形象廊道</t>
    <phoneticPr fontId="1" type="noConversion"/>
  </si>
  <si>
    <t>實驗室</t>
    <phoneticPr fontId="1" type="noConversion"/>
  </si>
  <si>
    <t>迎賓區</t>
    <phoneticPr fontId="1" type="noConversion"/>
  </si>
  <si>
    <t>A棟2F</t>
    <phoneticPr fontId="1" type="noConversion"/>
  </si>
  <si>
    <t>大型集會教室1</t>
    <phoneticPr fontId="1" type="noConversion"/>
  </si>
  <si>
    <t>大型集會教室2</t>
    <phoneticPr fontId="1" type="noConversion"/>
  </si>
  <si>
    <t>餐飲副總辦公室</t>
    <phoneticPr fontId="1" type="noConversion"/>
  </si>
  <si>
    <t>餐飲管理學院</t>
    <phoneticPr fontId="1" type="noConversion"/>
  </si>
  <si>
    <t>控制室</t>
    <phoneticPr fontId="1" type="noConversion"/>
  </si>
  <si>
    <t>討論室1</t>
    <phoneticPr fontId="1" type="noConversion"/>
  </si>
  <si>
    <t>交誼廳</t>
    <phoneticPr fontId="1" type="noConversion"/>
  </si>
  <si>
    <t>討論室2</t>
    <phoneticPr fontId="1" type="noConversion"/>
  </si>
  <si>
    <t>討論室3</t>
    <phoneticPr fontId="1" type="noConversion"/>
  </si>
  <si>
    <t>討論室4</t>
    <phoneticPr fontId="1" type="noConversion"/>
  </si>
  <si>
    <t>A棟3F</t>
    <phoneticPr fontId="1" type="noConversion"/>
  </si>
  <si>
    <t>哺乳室</t>
    <phoneticPr fontId="1" type="noConversion"/>
  </si>
  <si>
    <t>資訊處</t>
    <phoneticPr fontId="1" type="noConversion"/>
  </si>
  <si>
    <t>事務區</t>
    <phoneticPr fontId="1" type="noConversion"/>
  </si>
  <si>
    <t>營業處</t>
    <phoneticPr fontId="1" type="noConversion"/>
  </si>
  <si>
    <t>預留座位</t>
    <phoneticPr fontId="1" type="noConversion"/>
  </si>
  <si>
    <t>經營分析</t>
    <phoneticPr fontId="1" type="noConversion"/>
  </si>
  <si>
    <t>CEO</t>
    <phoneticPr fontId="1" type="noConversion"/>
  </si>
  <si>
    <t>休憩區左</t>
    <phoneticPr fontId="1" type="noConversion"/>
  </si>
  <si>
    <t>會議室(6)上</t>
    <phoneticPr fontId="1" type="noConversion"/>
  </si>
  <si>
    <t>會議室(16)中</t>
    <phoneticPr fontId="1" type="noConversion"/>
  </si>
  <si>
    <t>會議室(6)下</t>
    <phoneticPr fontId="1" type="noConversion"/>
  </si>
  <si>
    <t>營運工程處</t>
    <phoneticPr fontId="1" type="noConversion"/>
  </si>
  <si>
    <t>辦公室上左</t>
    <phoneticPr fontId="1" type="noConversion"/>
  </si>
  <si>
    <t>辦公室上中</t>
    <phoneticPr fontId="1" type="noConversion"/>
  </si>
  <si>
    <t>辦公室上右</t>
    <phoneticPr fontId="1" type="noConversion"/>
  </si>
  <si>
    <t>會議室(20)</t>
    <phoneticPr fontId="1" type="noConversion"/>
  </si>
  <si>
    <t>辦公室下左</t>
    <phoneticPr fontId="1" type="noConversion"/>
  </si>
  <si>
    <t>辦公室下中</t>
    <phoneticPr fontId="1" type="noConversion"/>
  </si>
  <si>
    <t>辦公室下右</t>
    <phoneticPr fontId="1" type="noConversion"/>
  </si>
  <si>
    <t>休憩區右</t>
    <phoneticPr fontId="1" type="noConversion"/>
  </si>
  <si>
    <t>採購處</t>
    <phoneticPr fontId="1" type="noConversion"/>
  </si>
  <si>
    <t>行銷企劃</t>
    <phoneticPr fontId="1" type="noConversion"/>
  </si>
  <si>
    <t>總經理室</t>
    <phoneticPr fontId="1" type="noConversion"/>
  </si>
  <si>
    <t>咖啡吧台區
沙發休息室
圖書閱覽室</t>
    <phoneticPr fontId="1" type="noConversion"/>
  </si>
  <si>
    <t>B棟1F</t>
    <phoneticPr fontId="1" type="noConversion"/>
  </si>
  <si>
    <t>倉庫</t>
    <phoneticPr fontId="1" type="noConversion"/>
  </si>
  <si>
    <t>攝影棚</t>
    <phoneticPr fontId="1" type="noConversion"/>
  </si>
  <si>
    <t>休憩區</t>
    <phoneticPr fontId="1" type="noConversion"/>
  </si>
  <si>
    <t>B棟2F</t>
    <phoneticPr fontId="1" type="noConversion"/>
  </si>
  <si>
    <t>財務處</t>
    <phoneticPr fontId="1" type="noConversion"/>
  </si>
  <si>
    <t>財務倉庫</t>
    <phoneticPr fontId="1" type="noConversion"/>
  </si>
  <si>
    <t>財務長辦公室</t>
    <phoneticPr fontId="1" type="noConversion"/>
  </si>
  <si>
    <t>財務收發室</t>
    <phoneticPr fontId="1" type="noConversion"/>
  </si>
  <si>
    <t>會議室(6)</t>
    <phoneticPr fontId="1" type="noConversion"/>
  </si>
  <si>
    <t>人資副總辦公室</t>
    <phoneticPr fontId="1" type="noConversion"/>
  </si>
  <si>
    <t>行政副總辦公室</t>
    <phoneticPr fontId="1" type="noConversion"/>
  </si>
  <si>
    <t>會議室(4)</t>
    <phoneticPr fontId="1" type="noConversion"/>
  </si>
  <si>
    <t>會議室(16)</t>
    <phoneticPr fontId="1" type="noConversion"/>
  </si>
  <si>
    <t>人力資源處
行政管理處
休憩區</t>
    <phoneticPr fontId="1" type="noConversion"/>
  </si>
  <si>
    <t>高階主管辦公室</t>
    <phoneticPr fontId="1" type="noConversion"/>
  </si>
  <si>
    <t>董事長秘書</t>
    <phoneticPr fontId="1" type="noConversion"/>
  </si>
  <si>
    <t>稽核</t>
    <phoneticPr fontId="1" type="noConversion"/>
  </si>
  <si>
    <t>董事長室</t>
    <phoneticPr fontId="1" type="noConversion"/>
  </si>
  <si>
    <t>戰略室</t>
    <phoneticPr fontId="1" type="noConversion"/>
  </si>
  <si>
    <t>秘書、事務區</t>
    <phoneticPr fontId="1" type="noConversion"/>
  </si>
  <si>
    <t>行銷管理
咖啡師
研發部</t>
    <phoneticPr fontId="1" type="noConversion"/>
  </si>
  <si>
    <t>3450*2</t>
    <phoneticPr fontId="1" type="noConversion"/>
  </si>
  <si>
    <t>4500+6000</t>
    <phoneticPr fontId="1" type="noConversion"/>
  </si>
  <si>
    <t>6000*3</t>
    <phoneticPr fontId="1" type="noConversion"/>
  </si>
  <si>
    <t>3450*1,6000*2</t>
    <phoneticPr fontId="1" type="noConversion"/>
  </si>
  <si>
    <t>2300*2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</si>
</sst>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#,##0.0"/>
    <numFmt numFmtId="177" formatCode="&quot;ho=&quot;#,##0.0&quot;kcal/kg&quot;"/>
    <numFmt numFmtId="178" formatCode="#,##0.0\ &quot;CDB&quot;"/>
    <numFmt numFmtId="179" formatCode="#,##0.0\ &quot;%RH&quot;"/>
    <numFmt numFmtId="180" formatCode="#,##0.0\ &quot;CWB&quot;"/>
    <numFmt numFmtId="181" formatCode="&quot;hr=&quot;#,##0.0&quot;kcal/kg&quot;"/>
    <numFmt numFmtId="182" formatCode="&quot;ho=&quot;#,##0.00&quot;kcal/kg&quot;"/>
    <numFmt numFmtId="183" formatCode="#,##0_ "/>
    <numFmt numFmtId="184" formatCode="0_ "/>
    <numFmt numFmtId="185" formatCode="0.0_ "/>
  </numFmts>
  <fonts count="27" x14ac:knownFonts="1">
    <font>
      <sz val="8"/>
      <name val="Courier"/>
      <family val="3"/>
    </font>
    <font>
      <sz val="9"/>
      <name val="細明體"/>
      <family val="3"/>
      <charset val="136"/>
    </font>
    <font>
      <sz val="8"/>
      <color indexed="8"/>
      <name val="標楷體"/>
      <family val="4"/>
      <charset val="136"/>
    </font>
    <font>
      <sz val="12"/>
      <color indexed="8"/>
      <name val="標楷體"/>
      <family val="4"/>
      <charset val="136"/>
    </font>
    <font>
      <sz val="24"/>
      <color indexed="8"/>
      <name val="標楷體"/>
      <family val="4"/>
      <charset val="136"/>
    </font>
    <font>
      <sz val="8"/>
      <name val="標楷體"/>
      <family val="4"/>
      <charset val="136"/>
    </font>
    <font>
      <sz val="12"/>
      <color indexed="10"/>
      <name val="標楷體"/>
      <family val="4"/>
      <charset val="136"/>
    </font>
    <font>
      <sz val="18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4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sz val="12"/>
      <name val="標楷體"/>
      <family val="4"/>
      <charset val="136"/>
    </font>
    <font>
      <sz val="12"/>
      <color indexed="16"/>
      <name val="標楷體"/>
      <family val="4"/>
      <charset val="136"/>
    </font>
    <font>
      <sz val="8"/>
      <color indexed="10"/>
      <name val="標楷體"/>
      <family val="4"/>
      <charset val="136"/>
    </font>
    <font>
      <sz val="10"/>
      <color indexed="8"/>
      <name val="Times New Roman"/>
      <family val="1"/>
    </font>
    <font>
      <sz val="20"/>
      <color indexed="8"/>
      <name val="標楷體"/>
      <family val="4"/>
      <charset val="136"/>
    </font>
    <font>
      <sz val="10"/>
      <color indexed="10"/>
      <name val="標楷體"/>
      <family val="4"/>
      <charset val="136"/>
    </font>
    <font>
      <sz val="22"/>
      <color indexed="8"/>
      <name val="標楷體"/>
      <family val="4"/>
      <charset val="136"/>
    </font>
    <font>
      <vertAlign val="superscript"/>
      <sz val="8"/>
      <color indexed="8"/>
      <name val="標楷體"/>
      <family val="4"/>
      <charset val="136"/>
    </font>
    <font>
      <sz val="6"/>
      <color indexed="8"/>
      <name val="標楷體"/>
      <family val="4"/>
      <charset val="136"/>
    </font>
    <font>
      <sz val="10"/>
      <name val="Courier"/>
      <family val="3"/>
    </font>
    <font>
      <sz val="9"/>
      <color indexed="10"/>
      <name val="標楷體"/>
      <family val="4"/>
      <charset val="136"/>
    </font>
    <font>
      <sz val="8"/>
      <color indexed="16"/>
      <name val="標楷體"/>
      <family val="4"/>
      <charset val="136"/>
    </font>
    <font>
      <sz val="9"/>
      <name val="標楷體"/>
      <family val="4"/>
      <charset val="136"/>
    </font>
    <font>
      <sz val="10"/>
      <color indexed="8"/>
      <name val="細明體"/>
      <family val="3"/>
      <charset val="136"/>
    </font>
    <font>
      <sz val="10"/>
      <name val="標楷體"/>
      <family val="4"/>
      <charset val="136"/>
    </font>
    <font>
      <sz val="10"/>
      <color rgb="FFFF0000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7">
    <xf numFmtId="0" fontId="0" fillId="0" borderId="0" xfId="0"/>
    <xf numFmtId="176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2" fillId="0" borderId="0" xfId="0" applyFont="1"/>
    <xf numFmtId="176" fontId="3" fillId="0" borderId="0" xfId="0" applyNumberFormat="1" applyFont="1"/>
    <xf numFmtId="3" fontId="2" fillId="0" borderId="0" xfId="0" applyNumberFormat="1" applyFont="1" applyAlignment="1">
      <alignment horizontal="centerContinuous"/>
    </xf>
    <xf numFmtId="0" fontId="4" fillId="0" borderId="0" xfId="0" applyFont="1" applyAlignment="1">
      <alignment horizontal="centerContinuous"/>
    </xf>
    <xf numFmtId="176" fontId="3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Continuous"/>
    </xf>
    <xf numFmtId="3" fontId="5" fillId="0" borderId="0" xfId="0" applyNumberFormat="1" applyFont="1"/>
    <xf numFmtId="177" fontId="2" fillId="0" borderId="0" xfId="0" applyNumberFormat="1" applyFont="1" applyFill="1" applyAlignment="1">
      <alignment horizontal="centerContinuous"/>
    </xf>
    <xf numFmtId="3" fontId="3" fillId="2" borderId="0" xfId="0" applyNumberFormat="1" applyFont="1" applyFill="1" applyAlignment="1">
      <alignment horizontal="centerContinuous"/>
    </xf>
    <xf numFmtId="3" fontId="7" fillId="0" borderId="0" xfId="0" applyNumberFormat="1" applyFont="1" applyAlignment="1">
      <alignment horizontal="centerContinuous"/>
    </xf>
    <xf numFmtId="3" fontId="7" fillId="0" borderId="0" xfId="0" applyNumberFormat="1" applyFont="1" applyAlignment="1">
      <alignment horizontal="center"/>
    </xf>
    <xf numFmtId="3" fontId="3" fillId="2" borderId="0" xfId="0" applyNumberFormat="1" applyFont="1" applyFill="1" applyAlignment="1">
      <alignment horizontal="center"/>
    </xf>
    <xf numFmtId="176" fontId="3" fillId="2" borderId="0" xfId="0" applyNumberFormat="1" applyFont="1" applyFill="1" applyAlignment="1">
      <alignment horizontal="center"/>
    </xf>
    <xf numFmtId="3" fontId="3" fillId="2" borderId="0" xfId="0" applyNumberFormat="1" applyFont="1" applyFill="1"/>
    <xf numFmtId="3" fontId="3" fillId="2" borderId="0" xfId="0" applyNumberFormat="1" applyFont="1" applyFill="1" applyAlignment="1">
      <alignment horizontal="right" vertical="center"/>
    </xf>
    <xf numFmtId="57" fontId="8" fillId="2" borderId="0" xfId="0" applyNumberFormat="1" applyFont="1" applyFill="1" applyAlignment="1">
      <alignment horizontal="right" vertical="center"/>
    </xf>
    <xf numFmtId="57" fontId="8" fillId="2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/>
    </xf>
    <xf numFmtId="181" fontId="8" fillId="0" borderId="0" xfId="0" applyNumberFormat="1" applyFont="1" applyFill="1" applyAlignment="1">
      <alignment horizontal="centerContinuous"/>
    </xf>
    <xf numFmtId="181" fontId="3" fillId="0" borderId="0" xfId="0" applyNumberFormat="1" applyFont="1" applyFill="1" applyAlignment="1">
      <alignment horizontal="centerContinuous"/>
    </xf>
    <xf numFmtId="3" fontId="2" fillId="0" borderId="0" xfId="0" applyNumberFormat="1" applyFont="1"/>
    <xf numFmtId="0" fontId="7" fillId="2" borderId="0" xfId="0" applyFont="1" applyFill="1"/>
    <xf numFmtId="3" fontId="7" fillId="2" borderId="0" xfId="0" applyNumberFormat="1" applyFont="1" applyFill="1" applyAlignment="1"/>
    <xf numFmtId="176" fontId="3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0" fontId="8" fillId="2" borderId="0" xfId="0" quotePrefix="1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176" fontId="8" fillId="2" borderId="0" xfId="0" applyNumberFormat="1" applyFont="1" applyFill="1" applyAlignment="1">
      <alignment horizontal="left"/>
    </xf>
    <xf numFmtId="4" fontId="8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right"/>
    </xf>
    <xf numFmtId="1" fontId="3" fillId="2" borderId="0" xfId="0" applyNumberFormat="1" applyFont="1" applyFill="1"/>
    <xf numFmtId="176" fontId="10" fillId="2" borderId="1" xfId="0" applyNumberFormat="1" applyFont="1" applyFill="1" applyBorder="1" applyAlignment="1">
      <alignment horizontal="center"/>
    </xf>
    <xf numFmtId="176" fontId="10" fillId="2" borderId="1" xfId="0" applyNumberFormat="1" applyFont="1" applyFill="1" applyBorder="1" applyAlignment="1">
      <alignment horizontal="centerContinuous"/>
    </xf>
    <xf numFmtId="4" fontId="10" fillId="2" borderId="2" xfId="0" applyNumberFormat="1" applyFont="1" applyFill="1" applyBorder="1" applyAlignment="1">
      <alignment horizontal="center"/>
    </xf>
    <xf numFmtId="176" fontId="10" fillId="2" borderId="2" xfId="0" applyNumberFormat="1" applyFont="1" applyFill="1" applyBorder="1" applyAlignment="1">
      <alignment horizontal="centerContinuous"/>
    </xf>
    <xf numFmtId="3" fontId="10" fillId="2" borderId="2" xfId="0" applyNumberFormat="1" applyFont="1" applyFill="1" applyBorder="1" applyAlignment="1">
      <alignment horizontal="centerContinuous"/>
    </xf>
    <xf numFmtId="2" fontId="10" fillId="2" borderId="3" xfId="0" applyNumberFormat="1" applyFont="1" applyFill="1" applyBorder="1" applyAlignment="1">
      <alignment horizontal="centerContinuous"/>
    </xf>
    <xf numFmtId="2" fontId="10" fillId="2" borderId="4" xfId="0" applyNumberFormat="1" applyFont="1" applyFill="1" applyBorder="1" applyAlignment="1">
      <alignment horizontal="centerContinuous"/>
    </xf>
    <xf numFmtId="0" fontId="11" fillId="0" borderId="0" xfId="0" applyFont="1" applyAlignment="1">
      <alignment horizontal="center"/>
    </xf>
    <xf numFmtId="176" fontId="5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left"/>
    </xf>
    <xf numFmtId="176" fontId="6" fillId="0" borderId="0" xfId="0" applyNumberFormat="1" applyFont="1"/>
    <xf numFmtId="3" fontId="5" fillId="0" borderId="0" xfId="0" applyNumberFormat="1" applyFont="1" applyAlignment="1">
      <alignment horizontal="center"/>
    </xf>
    <xf numFmtId="2" fontId="5" fillId="0" borderId="0" xfId="0" applyNumberFormat="1" applyFont="1"/>
    <xf numFmtId="0" fontId="5" fillId="0" borderId="0" xfId="0" applyFont="1" applyAlignment="1">
      <alignment horizontal="right"/>
    </xf>
    <xf numFmtId="1" fontId="6" fillId="0" borderId="0" xfId="0" applyNumberFormat="1" applyFont="1"/>
    <xf numFmtId="3" fontId="6" fillId="0" borderId="0" xfId="0" applyNumberFormat="1" applyFont="1"/>
    <xf numFmtId="176" fontId="11" fillId="0" borderId="0" xfId="0" applyNumberFormat="1" applyFont="1"/>
    <xf numFmtId="3" fontId="11" fillId="0" borderId="0" xfId="0" applyNumberFormat="1" applyFont="1"/>
    <xf numFmtId="3" fontId="6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176" fontId="13" fillId="0" borderId="0" xfId="0" applyNumberFormat="1" applyFont="1"/>
    <xf numFmtId="1" fontId="13" fillId="0" borderId="0" xfId="0" applyNumberFormat="1" applyFont="1"/>
    <xf numFmtId="3" fontId="13" fillId="0" borderId="0" xfId="0" applyNumberFormat="1" applyFont="1"/>
    <xf numFmtId="176" fontId="5" fillId="0" borderId="0" xfId="0" applyNumberFormat="1" applyFont="1"/>
    <xf numFmtId="3" fontId="13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179" fontId="14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center"/>
    </xf>
    <xf numFmtId="0" fontId="9" fillId="0" borderId="0" xfId="0" applyFont="1" applyFill="1" applyBorder="1" applyAlignment="1">
      <alignment horizontal="center"/>
    </xf>
    <xf numFmtId="176" fontId="8" fillId="2" borderId="0" xfId="0" applyNumberFormat="1" applyFont="1" applyFill="1" applyAlignment="1">
      <alignment horizontal="center"/>
    </xf>
    <xf numFmtId="176" fontId="5" fillId="0" borderId="0" xfId="0" applyNumberFormat="1" applyFont="1" applyAlignment="1">
      <alignment horizontal="center"/>
    </xf>
    <xf numFmtId="0" fontId="5" fillId="0" borderId="0" xfId="0" applyFont="1" applyBorder="1" applyAlignment="1">
      <alignment horizontal="center"/>
    </xf>
    <xf numFmtId="176" fontId="3" fillId="2" borderId="0" xfId="0" applyNumberFormat="1" applyFont="1" applyFill="1" applyBorder="1" applyAlignment="1">
      <alignment horizontal="center"/>
    </xf>
    <xf numFmtId="176" fontId="2" fillId="2" borderId="0" xfId="0" applyNumberFormat="1" applyFont="1" applyFill="1" applyBorder="1" applyAlignment="1">
      <alignment horizontal="left"/>
    </xf>
    <xf numFmtId="4" fontId="2" fillId="2" borderId="0" xfId="0" applyNumberFormat="1" applyFont="1" applyFill="1" applyBorder="1" applyAlignment="1">
      <alignment horizontal="left"/>
    </xf>
    <xf numFmtId="176" fontId="2" fillId="2" borderId="0" xfId="0" applyNumberFormat="1" applyFont="1" applyFill="1" applyBorder="1" applyAlignment="1">
      <alignment horizontal="right"/>
    </xf>
    <xf numFmtId="178" fontId="19" fillId="0" borderId="0" xfId="0" applyNumberFormat="1" applyFont="1" applyFill="1" applyAlignment="1">
      <alignment horizontal="center"/>
    </xf>
    <xf numFmtId="176" fontId="19" fillId="0" borderId="0" xfId="0" applyNumberFormat="1" applyFont="1" applyFill="1" applyAlignment="1">
      <alignment horizontal="center"/>
    </xf>
    <xf numFmtId="180" fontId="19" fillId="0" borderId="0" xfId="0" applyNumberFormat="1" applyFont="1" applyAlignment="1">
      <alignment horizontal="left"/>
    </xf>
    <xf numFmtId="182" fontId="19" fillId="0" borderId="0" xfId="0" applyNumberFormat="1" applyFont="1" applyFill="1" applyAlignment="1">
      <alignment horizontal="centerContinuous"/>
    </xf>
    <xf numFmtId="177" fontId="19" fillId="0" borderId="0" xfId="0" applyNumberFormat="1" applyFont="1" applyFill="1" applyAlignment="1">
      <alignment horizontal="centerContinuous"/>
    </xf>
    <xf numFmtId="176" fontId="2" fillId="5" borderId="0" xfId="0" applyNumberFormat="1" applyFont="1" applyFill="1" applyAlignment="1">
      <alignment horizontal="left"/>
    </xf>
    <xf numFmtId="176" fontId="2" fillId="5" borderId="0" xfId="0" applyNumberFormat="1" applyFont="1" applyFill="1"/>
    <xf numFmtId="176" fontId="8" fillId="5" borderId="0" xfId="0" applyNumberFormat="1" applyFont="1" applyFill="1" applyAlignment="1">
      <alignment horizontal="left"/>
    </xf>
    <xf numFmtId="176" fontId="10" fillId="5" borderId="2" xfId="0" applyNumberFormat="1" applyFont="1" applyFill="1" applyBorder="1" applyAlignment="1">
      <alignment horizontal="centerContinuous"/>
    </xf>
    <xf numFmtId="176" fontId="2" fillId="5" borderId="0" xfId="0" applyNumberFormat="1" applyFont="1" applyFill="1" applyBorder="1" applyAlignment="1">
      <alignment horizontal="right"/>
    </xf>
    <xf numFmtId="176" fontId="5" fillId="5" borderId="0" xfId="0" applyNumberFormat="1" applyFont="1" applyFill="1" applyAlignment="1">
      <alignment horizontal="left"/>
    </xf>
    <xf numFmtId="0" fontId="2" fillId="0" borderId="7" xfId="0" applyFont="1" applyFill="1" applyBorder="1" applyAlignment="1">
      <alignment horizontal="left"/>
    </xf>
    <xf numFmtId="3" fontId="10" fillId="0" borderId="0" xfId="0" applyNumberFormat="1" applyFont="1"/>
    <xf numFmtId="3" fontId="10" fillId="2" borderId="0" xfId="0" applyNumberFormat="1" applyFont="1" applyFill="1" applyAlignment="1">
      <alignment horizontal="right"/>
    </xf>
    <xf numFmtId="176" fontId="10" fillId="2" borderId="0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57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Continuous"/>
    </xf>
    <xf numFmtId="0" fontId="22" fillId="0" borderId="0" xfId="0" applyFont="1" applyAlignment="1">
      <alignment horizontal="center"/>
    </xf>
    <xf numFmtId="3" fontId="2" fillId="0" borderId="0" xfId="0" applyNumberFormat="1" applyFont="1" applyAlignment="1">
      <alignment horizontal="left"/>
    </xf>
    <xf numFmtId="3" fontId="2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/>
    </xf>
    <xf numFmtId="3" fontId="13" fillId="0" borderId="0" xfId="0" applyNumberFormat="1" applyFont="1" applyAlignment="1">
      <alignment horizontal="left"/>
    </xf>
    <xf numFmtId="3" fontId="10" fillId="2" borderId="2" xfId="0" applyNumberFormat="1" applyFont="1" applyFill="1" applyBorder="1" applyAlignment="1">
      <alignment horizontal="center"/>
    </xf>
    <xf numFmtId="3" fontId="10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3" fontId="10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Continuous"/>
    </xf>
    <xf numFmtId="3" fontId="21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3" fontId="10" fillId="2" borderId="0" xfId="0" applyNumberFormat="1" applyFont="1" applyFill="1"/>
    <xf numFmtId="3" fontId="23" fillId="0" borderId="0" xfId="0" applyNumberFormat="1" applyFont="1" applyAlignment="1">
      <alignment horizontal="center"/>
    </xf>
    <xf numFmtId="3" fontId="23" fillId="0" borderId="0" xfId="0" applyNumberFormat="1" applyFont="1"/>
    <xf numFmtId="176" fontId="2" fillId="0" borderId="7" xfId="0" applyNumberFormat="1" applyFont="1" applyFill="1" applyBorder="1" applyAlignment="1">
      <alignment horizontal="left"/>
    </xf>
    <xf numFmtId="0" fontId="2" fillId="0" borderId="0" xfId="0" applyFont="1" applyFill="1" applyBorder="1" applyAlignment="1"/>
    <xf numFmtId="0" fontId="22" fillId="0" borderId="0" xfId="0" applyFont="1" applyAlignment="1"/>
    <xf numFmtId="0" fontId="2" fillId="2" borderId="15" xfId="0" applyFont="1" applyFill="1" applyBorder="1" applyAlignment="1">
      <alignment horizontal="left"/>
    </xf>
    <xf numFmtId="0" fontId="2" fillId="0" borderId="22" xfId="0" applyFont="1" applyFill="1" applyBorder="1" applyAlignment="1">
      <alignment horizontal="left"/>
    </xf>
    <xf numFmtId="176" fontId="2" fillId="0" borderId="22" xfId="0" applyNumberFormat="1" applyFont="1" applyFill="1" applyBorder="1" applyAlignment="1">
      <alignment horizontal="left"/>
    </xf>
    <xf numFmtId="0" fontId="2" fillId="3" borderId="22" xfId="0" applyFont="1" applyFill="1" applyBorder="1" applyAlignment="1">
      <alignment horizontal="left"/>
    </xf>
    <xf numFmtId="0" fontId="13" fillId="0" borderId="23" xfId="0" applyFont="1" applyFill="1" applyBorder="1" applyAlignment="1">
      <alignment horizontal="left"/>
    </xf>
    <xf numFmtId="0" fontId="2" fillId="0" borderId="23" xfId="0" applyFont="1" applyFill="1" applyBorder="1" applyAlignment="1">
      <alignment horizontal="left"/>
    </xf>
    <xf numFmtId="3" fontId="2" fillId="4" borderId="5" xfId="0" applyNumberFormat="1" applyFont="1" applyFill="1" applyBorder="1" applyAlignment="1">
      <alignment horizontal="left"/>
    </xf>
    <xf numFmtId="176" fontId="2" fillId="4" borderId="7" xfId="0" applyNumberFormat="1" applyFont="1" applyFill="1" applyBorder="1" applyAlignment="1">
      <alignment horizontal="left"/>
    </xf>
    <xf numFmtId="176" fontId="2" fillId="5" borderId="7" xfId="0" applyNumberFormat="1" applyFont="1" applyFill="1" applyBorder="1" applyAlignment="1">
      <alignment horizontal="left"/>
    </xf>
    <xf numFmtId="3" fontId="2" fillId="3" borderId="7" xfId="0" applyNumberFormat="1" applyFont="1" applyFill="1" applyBorder="1" applyAlignment="1">
      <alignment horizontal="left"/>
    </xf>
    <xf numFmtId="176" fontId="13" fillId="0" borderId="9" xfId="0" applyNumberFormat="1" applyFont="1" applyFill="1" applyBorder="1" applyAlignment="1">
      <alignment horizontal="left"/>
    </xf>
    <xf numFmtId="176" fontId="2" fillId="2" borderId="9" xfId="0" applyNumberFormat="1" applyFont="1" applyFill="1" applyBorder="1" applyAlignment="1">
      <alignment horizontal="left"/>
    </xf>
    <xf numFmtId="176" fontId="2" fillId="0" borderId="26" xfId="0" applyNumberFormat="1" applyFont="1" applyFill="1" applyBorder="1" applyAlignment="1">
      <alignment horizontal="left"/>
    </xf>
    <xf numFmtId="176" fontId="2" fillId="0" borderId="27" xfId="0" applyNumberFormat="1" applyFont="1" applyFill="1" applyBorder="1" applyAlignment="1">
      <alignment horizontal="left"/>
    </xf>
    <xf numFmtId="176" fontId="2" fillId="2" borderId="29" xfId="0" applyNumberFormat="1" applyFont="1" applyFill="1" applyBorder="1" applyAlignment="1">
      <alignment horizontal="center"/>
    </xf>
    <xf numFmtId="176" fontId="2" fillId="2" borderId="8" xfId="0" applyNumberFormat="1" applyFont="1" applyFill="1" applyBorder="1" applyAlignment="1">
      <alignment horizontal="center"/>
    </xf>
    <xf numFmtId="4" fontId="2" fillId="2" borderId="29" xfId="0" applyNumberFormat="1" applyFont="1" applyFill="1" applyBorder="1" applyAlignment="1">
      <alignment horizontal="center"/>
    </xf>
    <xf numFmtId="176" fontId="2" fillId="5" borderId="8" xfId="0" applyNumberFormat="1" applyFont="1" applyFill="1" applyBorder="1" applyAlignment="1">
      <alignment horizontal="center"/>
    </xf>
    <xf numFmtId="3" fontId="10" fillId="2" borderId="8" xfId="0" applyNumberFormat="1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" fontId="2" fillId="2" borderId="8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2" borderId="29" xfId="0" applyNumberFormat="1" applyFont="1" applyFill="1" applyBorder="1" applyAlignment="1">
      <alignment horizontal="center"/>
    </xf>
    <xf numFmtId="3" fontId="2" fillId="4" borderId="30" xfId="0" applyNumberFormat="1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4" fillId="5" borderId="24" xfId="0" applyFont="1" applyFill="1" applyBorder="1" applyAlignment="1">
      <alignment horizontal="center"/>
    </xf>
    <xf numFmtId="176" fontId="8" fillId="2" borderId="25" xfId="0" applyNumberFormat="1" applyFont="1" applyFill="1" applyBorder="1" applyAlignment="1">
      <alignment horizontal="left"/>
    </xf>
    <xf numFmtId="176" fontId="25" fillId="2" borderId="25" xfId="0" applyNumberFormat="1" applyFont="1" applyFill="1" applyBorder="1" applyAlignment="1">
      <alignment horizontal="right"/>
    </xf>
    <xf numFmtId="4" fontId="25" fillId="2" borderId="25" xfId="0" applyNumberFormat="1" applyFont="1" applyFill="1" applyBorder="1" applyAlignment="1">
      <alignment horizontal="right"/>
    </xf>
    <xf numFmtId="4" fontId="26" fillId="2" borderId="25" xfId="0" applyNumberFormat="1" applyFont="1" applyFill="1" applyBorder="1" applyAlignment="1">
      <alignment horizontal="right"/>
    </xf>
    <xf numFmtId="176" fontId="26" fillId="5" borderId="25" xfId="0" applyNumberFormat="1" applyFont="1" applyFill="1" applyBorder="1" applyAlignment="1">
      <alignment horizontal="right"/>
    </xf>
    <xf numFmtId="176" fontId="8" fillId="2" borderId="25" xfId="0" applyNumberFormat="1" applyFont="1" applyFill="1" applyBorder="1" applyAlignment="1">
      <alignment horizontal="right"/>
    </xf>
    <xf numFmtId="3" fontId="8" fillId="2" borderId="25" xfId="0" applyNumberFormat="1" applyFont="1" applyFill="1" applyBorder="1" applyAlignment="1">
      <alignment horizontal="center"/>
    </xf>
    <xf numFmtId="3" fontId="8" fillId="2" borderId="25" xfId="0" applyNumberFormat="1" applyFont="1" applyFill="1" applyBorder="1" applyAlignment="1">
      <alignment horizontal="right"/>
    </xf>
    <xf numFmtId="3" fontId="8" fillId="0" borderId="25" xfId="0" applyNumberFormat="1" applyFont="1" applyFill="1" applyBorder="1" applyAlignment="1">
      <alignment horizontal="right"/>
    </xf>
    <xf numFmtId="2" fontId="8" fillId="2" borderId="25" xfId="0" applyNumberFormat="1" applyFont="1" applyFill="1" applyBorder="1" applyAlignment="1">
      <alignment horizontal="right"/>
    </xf>
    <xf numFmtId="0" fontId="8" fillId="2" borderId="25" xfId="0" applyFont="1" applyFill="1" applyBorder="1" applyAlignment="1">
      <alignment horizontal="right"/>
    </xf>
    <xf numFmtId="1" fontId="8" fillId="2" borderId="25" xfId="0" applyNumberFormat="1" applyFont="1" applyFill="1" applyBorder="1" applyAlignment="1">
      <alignment horizontal="right"/>
    </xf>
    <xf numFmtId="3" fontId="8" fillId="5" borderId="25" xfId="0" applyNumberFormat="1" applyFont="1" applyFill="1" applyBorder="1" applyAlignment="1">
      <alignment horizontal="right"/>
    </xf>
    <xf numFmtId="3" fontId="8" fillId="2" borderId="25" xfId="0" applyNumberFormat="1" applyFont="1" applyFill="1" applyBorder="1" applyAlignment="1"/>
    <xf numFmtId="3" fontId="14" fillId="0" borderId="25" xfId="0" applyNumberFormat="1" applyFont="1" applyFill="1" applyBorder="1" applyAlignment="1">
      <alignment horizontal="center"/>
    </xf>
    <xf numFmtId="176" fontId="8" fillId="4" borderId="25" xfId="0" applyNumberFormat="1" applyFont="1" applyFill="1" applyBorder="1" applyAlignment="1">
      <alignment horizontal="right"/>
    </xf>
    <xf numFmtId="176" fontId="8" fillId="0" borderId="25" xfId="0" applyNumberFormat="1" applyFont="1" applyFill="1" applyBorder="1" applyAlignment="1">
      <alignment horizontal="right"/>
    </xf>
    <xf numFmtId="176" fontId="8" fillId="0" borderId="25" xfId="0" applyNumberFormat="1" applyFont="1" applyFill="1" applyBorder="1" applyAlignment="1">
      <alignment horizontal="center"/>
    </xf>
    <xf numFmtId="0" fontId="24" fillId="5" borderId="20" xfId="0" applyFont="1" applyFill="1" applyBorder="1" applyAlignment="1">
      <alignment horizontal="center"/>
    </xf>
    <xf numFmtId="176" fontId="8" fillId="2" borderId="6" xfId="0" applyNumberFormat="1" applyFont="1" applyFill="1" applyBorder="1" applyAlignment="1">
      <alignment horizontal="left"/>
    </xf>
    <xf numFmtId="176" fontId="8" fillId="2" borderId="6" xfId="0" applyNumberFormat="1" applyFont="1" applyFill="1" applyBorder="1" applyAlignment="1">
      <alignment horizontal="right"/>
    </xf>
    <xf numFmtId="4" fontId="8" fillId="2" borderId="6" xfId="0" applyNumberFormat="1" applyFont="1" applyFill="1" applyBorder="1" applyAlignment="1">
      <alignment horizontal="right"/>
    </xf>
    <xf numFmtId="4" fontId="25" fillId="2" borderId="6" xfId="0" applyNumberFormat="1" applyFont="1" applyFill="1" applyBorder="1" applyAlignment="1">
      <alignment horizontal="right"/>
    </xf>
    <xf numFmtId="176" fontId="26" fillId="5" borderId="6" xfId="0" applyNumberFormat="1" applyFont="1" applyFill="1" applyBorder="1" applyAlignment="1">
      <alignment horizontal="right"/>
    </xf>
    <xf numFmtId="3" fontId="8" fillId="2" borderId="6" xfId="0" applyNumberFormat="1" applyFont="1" applyFill="1" applyBorder="1" applyAlignment="1">
      <alignment horizontal="center"/>
    </xf>
    <xf numFmtId="3" fontId="8" fillId="2" borderId="6" xfId="0" applyNumberFormat="1" applyFont="1" applyFill="1" applyBorder="1" applyAlignment="1">
      <alignment horizontal="right"/>
    </xf>
    <xf numFmtId="3" fontId="8" fillId="0" borderId="6" xfId="0" applyNumberFormat="1" applyFont="1" applyFill="1" applyBorder="1" applyAlignment="1">
      <alignment horizontal="right"/>
    </xf>
    <xf numFmtId="2" fontId="8" fillId="2" borderId="6" xfId="0" applyNumberFormat="1" applyFont="1" applyFill="1" applyBorder="1" applyAlignment="1">
      <alignment horizontal="right"/>
    </xf>
    <xf numFmtId="0" fontId="8" fillId="2" borderId="6" xfId="0" applyFont="1" applyFill="1" applyBorder="1" applyAlignment="1">
      <alignment horizontal="right"/>
    </xf>
    <xf numFmtId="1" fontId="8" fillId="2" borderId="6" xfId="0" applyNumberFormat="1" applyFont="1" applyFill="1" applyBorder="1" applyAlignment="1">
      <alignment horizontal="right"/>
    </xf>
    <xf numFmtId="3" fontId="8" fillId="2" borderId="6" xfId="0" applyNumberFormat="1" applyFont="1" applyFill="1" applyBorder="1" applyAlignment="1"/>
    <xf numFmtId="3" fontId="14" fillId="0" borderId="6" xfId="0" applyNumberFormat="1" applyFont="1" applyFill="1" applyBorder="1" applyAlignment="1">
      <alignment horizontal="center"/>
    </xf>
    <xf numFmtId="176" fontId="8" fillId="4" borderId="6" xfId="0" applyNumberFormat="1" applyFont="1" applyFill="1" applyBorder="1" applyAlignment="1">
      <alignment horizontal="right"/>
    </xf>
    <xf numFmtId="176" fontId="8" fillId="0" borderId="6" xfId="0" applyNumberFormat="1" applyFont="1" applyFill="1" applyBorder="1" applyAlignment="1">
      <alignment horizontal="right"/>
    </xf>
    <xf numFmtId="176" fontId="8" fillId="0" borderId="6" xfId="0" applyNumberFormat="1" applyFont="1" applyFill="1" applyBorder="1" applyAlignment="1">
      <alignment horizontal="center"/>
    </xf>
    <xf numFmtId="183" fontId="8" fillId="0" borderId="6" xfId="0" applyNumberFormat="1" applyFont="1" applyFill="1" applyBorder="1" applyAlignment="1">
      <alignment horizontal="right"/>
    </xf>
    <xf numFmtId="0" fontId="8" fillId="3" borderId="20" xfId="0" applyFont="1" applyFill="1" applyBorder="1" applyAlignment="1">
      <alignment horizontal="center"/>
    </xf>
    <xf numFmtId="176" fontId="8" fillId="3" borderId="6" xfId="0" applyNumberFormat="1" applyFont="1" applyFill="1" applyBorder="1" applyAlignment="1">
      <alignment horizontal="left"/>
    </xf>
    <xf numFmtId="176" fontId="8" fillId="3" borderId="6" xfId="0" applyNumberFormat="1" applyFont="1" applyFill="1" applyBorder="1" applyAlignment="1">
      <alignment horizontal="right"/>
    </xf>
    <xf numFmtId="4" fontId="8" fillId="3" borderId="6" xfId="0" applyNumberFormat="1" applyFont="1" applyFill="1" applyBorder="1" applyAlignment="1">
      <alignment horizontal="right"/>
    </xf>
    <xf numFmtId="176" fontId="8" fillId="6" borderId="6" xfId="0" applyNumberFormat="1" applyFont="1" applyFill="1" applyBorder="1" applyAlignment="1">
      <alignment horizontal="right"/>
    </xf>
    <xf numFmtId="3" fontId="8" fillId="3" borderId="6" xfId="0" applyNumberFormat="1" applyFont="1" applyFill="1" applyBorder="1" applyAlignment="1">
      <alignment horizontal="center"/>
    </xf>
    <xf numFmtId="3" fontId="8" fillId="3" borderId="6" xfId="0" applyNumberFormat="1" applyFont="1" applyFill="1" applyBorder="1" applyAlignment="1">
      <alignment horizontal="right"/>
    </xf>
    <xf numFmtId="2" fontId="8" fillId="3" borderId="6" xfId="0" applyNumberFormat="1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  <xf numFmtId="1" fontId="8" fillId="3" borderId="6" xfId="0" applyNumberFormat="1" applyFont="1" applyFill="1" applyBorder="1" applyAlignment="1">
      <alignment horizontal="right"/>
    </xf>
    <xf numFmtId="3" fontId="8" fillId="3" borderId="6" xfId="0" applyNumberFormat="1" applyFont="1" applyFill="1" applyBorder="1" applyAlignment="1"/>
    <xf numFmtId="176" fontId="8" fillId="3" borderId="6" xfId="0" applyNumberFormat="1" applyFont="1" applyFill="1" applyBorder="1" applyAlignment="1">
      <alignment horizontal="center"/>
    </xf>
    <xf numFmtId="0" fontId="16" fillId="0" borderId="21" xfId="0" applyFont="1" applyFill="1" applyBorder="1" applyAlignment="1">
      <alignment horizontal="center"/>
    </xf>
    <xf numFmtId="176" fontId="16" fillId="2" borderId="8" xfId="0" applyNumberFormat="1" applyFont="1" applyFill="1" applyBorder="1" applyAlignment="1">
      <alignment horizontal="left"/>
    </xf>
    <xf numFmtId="176" fontId="16" fillId="2" borderId="8" xfId="0" applyNumberFormat="1" applyFont="1" applyFill="1" applyBorder="1" applyAlignment="1">
      <alignment horizontal="right"/>
    </xf>
    <xf numFmtId="4" fontId="16" fillId="2" borderId="8" xfId="0" applyNumberFormat="1" applyFont="1" applyFill="1" applyBorder="1" applyAlignment="1">
      <alignment horizontal="right"/>
    </xf>
    <xf numFmtId="176" fontId="16" fillId="5" borderId="8" xfId="0" applyNumberFormat="1" applyFont="1" applyFill="1" applyBorder="1" applyAlignment="1">
      <alignment horizontal="right"/>
    </xf>
    <xf numFmtId="3" fontId="16" fillId="2" borderId="8" xfId="0" applyNumberFormat="1" applyFont="1" applyFill="1" applyBorder="1" applyAlignment="1">
      <alignment horizontal="right"/>
    </xf>
    <xf numFmtId="176" fontId="16" fillId="0" borderId="8" xfId="0" applyNumberFormat="1" applyFont="1" applyFill="1" applyBorder="1" applyAlignment="1">
      <alignment horizontal="center"/>
    </xf>
    <xf numFmtId="176" fontId="16" fillId="0" borderId="8" xfId="0" applyNumberFormat="1" applyFont="1" applyFill="1" applyBorder="1" applyAlignment="1">
      <alignment horizontal="right"/>
    </xf>
    <xf numFmtId="176" fontId="8" fillId="2" borderId="21" xfId="0" applyNumberFormat="1" applyFont="1" applyFill="1" applyBorder="1" applyAlignment="1">
      <alignment horizontal="center"/>
    </xf>
    <xf numFmtId="176" fontId="8" fillId="2" borderId="8" xfId="0" applyNumberFormat="1" applyFont="1" applyFill="1" applyBorder="1" applyAlignment="1">
      <alignment horizontal="left"/>
    </xf>
    <xf numFmtId="4" fontId="8" fillId="2" borderId="8" xfId="0" applyNumberFormat="1" applyFont="1" applyFill="1" applyBorder="1" applyAlignment="1">
      <alignment horizontal="left"/>
    </xf>
    <xf numFmtId="176" fontId="8" fillId="5" borderId="8" xfId="0" applyNumberFormat="1" applyFont="1" applyFill="1" applyBorder="1" applyAlignment="1">
      <alignment horizontal="right"/>
    </xf>
    <xf numFmtId="176" fontId="8" fillId="2" borderId="8" xfId="0" applyNumberFormat="1" applyFont="1" applyFill="1" applyBorder="1" applyAlignment="1">
      <alignment horizontal="right"/>
    </xf>
    <xf numFmtId="4" fontId="8" fillId="2" borderId="6" xfId="0" applyNumberFormat="1" applyFont="1" applyFill="1" applyBorder="1" applyAlignment="1">
      <alignment horizontal="right" vertical="center"/>
    </xf>
    <xf numFmtId="2" fontId="8" fillId="2" borderId="6" xfId="0" applyNumberFormat="1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right" vertical="center"/>
    </xf>
    <xf numFmtId="1" fontId="8" fillId="2" borderId="6" xfId="0" applyNumberFormat="1" applyFont="1" applyFill="1" applyBorder="1" applyAlignment="1">
      <alignment horizontal="right" vertical="center"/>
    </xf>
    <xf numFmtId="176" fontId="8" fillId="2" borderId="6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right" vertical="center"/>
    </xf>
    <xf numFmtId="3" fontId="14" fillId="0" borderId="6" xfId="0" applyNumberFormat="1" applyFont="1" applyFill="1" applyBorder="1" applyAlignment="1">
      <alignment horizontal="right" vertical="center"/>
    </xf>
    <xf numFmtId="176" fontId="25" fillId="2" borderId="31" xfId="0" applyNumberFormat="1" applyFont="1" applyFill="1" applyBorder="1" applyAlignment="1">
      <alignment vertical="center"/>
    </xf>
    <xf numFmtId="176" fontId="8" fillId="2" borderId="31" xfId="0" applyNumberFormat="1" applyFont="1" applyFill="1" applyBorder="1" applyAlignment="1">
      <alignment vertical="center"/>
    </xf>
    <xf numFmtId="4" fontId="8" fillId="2" borderId="31" xfId="0" applyNumberFormat="1" applyFont="1" applyFill="1" applyBorder="1" applyAlignment="1">
      <alignment vertical="center"/>
    </xf>
    <xf numFmtId="176" fontId="26" fillId="5" borderId="31" xfId="0" applyNumberFormat="1" applyFont="1" applyFill="1" applyBorder="1" applyAlignment="1">
      <alignment vertical="center"/>
    </xf>
    <xf numFmtId="3" fontId="8" fillId="2" borderId="31" xfId="0" applyNumberFormat="1" applyFont="1" applyFill="1" applyBorder="1" applyAlignment="1">
      <alignment vertical="center"/>
    </xf>
    <xf numFmtId="3" fontId="8" fillId="0" borderId="31" xfId="0" applyNumberFormat="1" applyFont="1" applyFill="1" applyBorder="1" applyAlignment="1">
      <alignment vertical="center"/>
    </xf>
    <xf numFmtId="176" fontId="8" fillId="4" borderId="31" xfId="0" applyNumberFormat="1" applyFont="1" applyFill="1" applyBorder="1" applyAlignment="1">
      <alignment vertical="center"/>
    </xf>
    <xf numFmtId="176" fontId="8" fillId="0" borderId="31" xfId="0" applyNumberFormat="1" applyFont="1" applyFill="1" applyBorder="1" applyAlignment="1">
      <alignment vertical="center"/>
    </xf>
    <xf numFmtId="0" fontId="24" fillId="5" borderId="20" xfId="0" applyFont="1" applyFill="1" applyBorder="1" applyAlignment="1">
      <alignment horizontal="center" wrapText="1"/>
    </xf>
    <xf numFmtId="3" fontId="8" fillId="2" borderId="31" xfId="0" applyNumberFormat="1" applyFont="1" applyFill="1" applyBorder="1" applyAlignment="1">
      <alignment horizontal="right" vertical="center"/>
    </xf>
    <xf numFmtId="183" fontId="8" fillId="0" borderId="31" xfId="0" applyNumberFormat="1" applyFont="1" applyFill="1" applyBorder="1" applyAlignment="1">
      <alignment horizontal="right" vertical="center"/>
    </xf>
    <xf numFmtId="3" fontId="8" fillId="0" borderId="31" xfId="0" applyNumberFormat="1" applyFont="1" applyFill="1" applyBorder="1" applyAlignment="1">
      <alignment horizontal="right" vertical="center"/>
    </xf>
    <xf numFmtId="176" fontId="25" fillId="2" borderId="6" xfId="0" applyNumberFormat="1" applyFont="1" applyFill="1" applyBorder="1" applyAlignment="1">
      <alignment horizontal="right"/>
    </xf>
    <xf numFmtId="176" fontId="25" fillId="2" borderId="25" xfId="0" applyNumberFormat="1" applyFont="1" applyFill="1" applyBorder="1" applyAlignment="1">
      <alignment horizontal="right" vertical="center"/>
    </xf>
    <xf numFmtId="176" fontId="26" fillId="5" borderId="6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horizontal="center" vertical="center"/>
    </xf>
    <xf numFmtId="3" fontId="8" fillId="0" borderId="6" xfId="0" applyNumberFormat="1" applyFont="1" applyFill="1" applyBorder="1" applyAlignment="1">
      <alignment horizontal="right" vertical="center"/>
    </xf>
    <xf numFmtId="3" fontId="8" fillId="2" borderId="6" xfId="0" applyNumberFormat="1" applyFont="1" applyFill="1" applyBorder="1" applyAlignment="1">
      <alignment vertical="center"/>
    </xf>
    <xf numFmtId="183" fontId="8" fillId="0" borderId="6" xfId="0" applyNumberFormat="1" applyFont="1" applyFill="1" applyBorder="1" applyAlignment="1">
      <alignment horizontal="right" vertical="center"/>
    </xf>
    <xf numFmtId="3" fontId="14" fillId="0" borderId="6" xfId="0" applyNumberFormat="1" applyFont="1" applyFill="1" applyBorder="1" applyAlignment="1">
      <alignment horizontal="center" vertical="center"/>
    </xf>
    <xf numFmtId="176" fontId="8" fillId="4" borderId="6" xfId="0" applyNumberFormat="1" applyFont="1" applyFill="1" applyBorder="1" applyAlignment="1">
      <alignment horizontal="right" vertical="center"/>
    </xf>
    <xf numFmtId="176" fontId="8" fillId="0" borderId="6" xfId="0" applyNumberFormat="1" applyFont="1" applyFill="1" applyBorder="1" applyAlignment="1">
      <alignment horizontal="right" vertical="center"/>
    </xf>
    <xf numFmtId="176" fontId="16" fillId="2" borderId="8" xfId="0" applyNumberFormat="1" applyFont="1" applyFill="1" applyBorder="1" applyAlignment="1">
      <alignment horizontal="center"/>
    </xf>
    <xf numFmtId="176" fontId="8" fillId="2" borderId="8" xfId="0" applyNumberFormat="1" applyFont="1" applyFill="1" applyBorder="1" applyAlignment="1">
      <alignment horizontal="center"/>
    </xf>
    <xf numFmtId="176" fontId="10" fillId="2" borderId="0" xfId="0" applyNumberFormat="1" applyFont="1" applyFill="1" applyBorder="1" applyAlignment="1">
      <alignment horizontal="center"/>
    </xf>
    <xf numFmtId="3" fontId="8" fillId="2" borderId="31" xfId="0" applyNumberFormat="1" applyFont="1" applyFill="1" applyBorder="1" applyAlignment="1">
      <alignment horizontal="center" vertical="center"/>
    </xf>
    <xf numFmtId="0" fontId="24" fillId="5" borderId="20" xfId="0" applyFont="1" applyFill="1" applyBorder="1" applyAlignment="1">
      <alignment horizontal="center" vertical="center" wrapText="1"/>
    </xf>
    <xf numFmtId="176" fontId="8" fillId="2" borderId="6" xfId="0" applyNumberFormat="1" applyFont="1" applyFill="1" applyBorder="1" applyAlignment="1">
      <alignment horizontal="left" vertical="center"/>
    </xf>
    <xf numFmtId="176" fontId="8" fillId="0" borderId="6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left" vertical="center"/>
    </xf>
    <xf numFmtId="0" fontId="2" fillId="0" borderId="22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184" fontId="5" fillId="0" borderId="0" xfId="0" applyNumberFormat="1" applyFont="1"/>
    <xf numFmtId="185" fontId="5" fillId="0" borderId="0" xfId="0" applyNumberFormat="1" applyFont="1"/>
    <xf numFmtId="0" fontId="24" fillId="7" borderId="20" xfId="0" applyFont="1" applyFill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16" xfId="0" applyNumberFormat="1" applyFont="1" applyBorder="1" applyAlignment="1">
      <alignment horizontal="center"/>
    </xf>
    <xf numFmtId="3" fontId="6" fillId="0" borderId="17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0" fillId="0" borderId="18" xfId="0" applyBorder="1" applyAlignment="1"/>
    <xf numFmtId="0" fontId="0" fillId="0" borderId="15" xfId="0" applyBorder="1" applyAlignment="1"/>
    <xf numFmtId="0" fontId="0" fillId="0" borderId="16" xfId="0" applyBorder="1" applyAlignment="1">
      <alignment horizontal="center"/>
    </xf>
    <xf numFmtId="0" fontId="0" fillId="0" borderId="12" xfId="0" applyBorder="1" applyAlignment="1"/>
    <xf numFmtId="0" fontId="0" fillId="0" borderId="17" xfId="0" applyBorder="1" applyAlignment="1"/>
    <xf numFmtId="0" fontId="17" fillId="0" borderId="0" xfId="0" applyFont="1" applyAlignment="1">
      <alignment horizontal="center"/>
    </xf>
    <xf numFmtId="176" fontId="10" fillId="2" borderId="19" xfId="0" applyNumberFormat="1" applyFont="1" applyFill="1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3" fontId="10" fillId="2" borderId="13" xfId="0" applyNumberFormat="1" applyFont="1" applyFill="1" applyBorder="1" applyAlignment="1">
      <alignment horizontal="center"/>
    </xf>
    <xf numFmtId="3" fontId="10" fillId="2" borderId="4" xfId="0" applyNumberFormat="1" applyFont="1" applyFill="1" applyBorder="1" applyAlignment="1">
      <alignment horizontal="center"/>
    </xf>
    <xf numFmtId="3" fontId="10" fillId="2" borderId="3" xfId="0" applyNumberFormat="1" applyFont="1" applyFill="1" applyBorder="1" applyAlignment="1">
      <alignment horizontal="center"/>
    </xf>
    <xf numFmtId="3" fontId="8" fillId="0" borderId="10" xfId="0" applyNumberFormat="1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20" fillId="0" borderId="18" xfId="0" applyFont="1" applyBorder="1" applyAlignment="1"/>
    <xf numFmtId="0" fontId="20" fillId="0" borderId="15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8073</xdr:rowOff>
    </xdr:from>
    <xdr:to>
      <xdr:col>4</xdr:col>
      <xdr:colOff>476250</xdr:colOff>
      <xdr:row>2</xdr:row>
      <xdr:rowOff>121080</xdr:rowOff>
    </xdr:to>
    <xdr:pic>
      <xdr:nvPicPr>
        <xdr:cNvPr id="2" name="Picture 209" descr="EPS-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4825" y="122373"/>
          <a:ext cx="1485900" cy="5130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8"/>
  <sheetViews>
    <sheetView showGridLines="0" showZeros="0" tabSelected="1" zoomScale="120" zoomScaleNormal="120" workbookViewId="0">
      <pane xSplit="1" ySplit="7" topLeftCell="E68" activePane="bottomRight" state="frozen"/>
      <selection pane="topRight" activeCell="B1" sqref="B1"/>
      <selection pane="bottomLeft" activeCell="A8" sqref="A8"/>
      <selection pane="bottomRight" activeCell="W17" sqref="W17"/>
    </sheetView>
  </sheetViews>
  <sheetFormatPr defaultRowHeight="16.5" x14ac:dyDescent="0.25"/>
  <cols>
    <col min="1" max="1" width="15.625" style="72" customWidth="1"/>
    <col min="2" max="2" width="6.625" style="49" hidden="1" customWidth="1"/>
    <col min="3" max="4" width="6.625" style="49" customWidth="1"/>
    <col min="5" max="6" width="6.625" style="50" customWidth="1"/>
    <col min="7" max="8" width="8.625" style="50" hidden="1" customWidth="1"/>
    <col min="9" max="9" width="6.625" style="88" customWidth="1"/>
    <col min="10" max="10" width="6.625" style="51" customWidth="1"/>
    <col min="11" max="11" width="9.625" style="111" customWidth="1"/>
    <col min="12" max="12" width="9.625" style="112" customWidth="1"/>
    <col min="13" max="13" width="9.625" style="108" customWidth="1"/>
    <col min="14" max="14" width="10.625" style="53" hidden="1" customWidth="1"/>
    <col min="15" max="15" width="12.625" style="54" hidden="1" customWidth="1"/>
    <col min="16" max="16" width="12.625" style="55" hidden="1" customWidth="1"/>
    <col min="17" max="17" width="5.625" style="15" customWidth="1"/>
    <col min="18" max="18" width="9.625" style="56" customWidth="1"/>
    <col min="19" max="19" width="8.625" style="57" hidden="1" customWidth="1"/>
    <col min="20" max="20" width="10.625" style="58" hidden="1" customWidth="1"/>
    <col min="21" max="21" width="12.625" style="59" hidden="1" customWidth="1"/>
    <col min="22" max="22" width="8.625" style="60" customWidth="1"/>
    <col min="23" max="23" width="8.625" style="59" customWidth="1"/>
    <col min="24" max="24" width="18.75" style="59" hidden="1" customWidth="1"/>
    <col min="25" max="25" width="11.25" style="59" bestFit="1" customWidth="1"/>
    <col min="26" max="27" width="8.625" style="61" customWidth="1"/>
    <col min="28" max="28" width="12.625" style="56" customWidth="1"/>
    <col min="29" max="29" width="8.625" style="56" customWidth="1"/>
    <col min="30" max="30" width="8.875" style="51" customWidth="1"/>
    <col min="31" max="31" width="8.5" style="61" hidden="1" customWidth="1"/>
    <col min="32" max="32" width="20.75" style="56" hidden="1" customWidth="1"/>
    <col min="33" max="33" width="9.75" style="56" hidden="1" customWidth="1"/>
    <col min="34" max="34" width="17" style="101" hidden="1" customWidth="1"/>
    <col min="35" max="35" width="17.25" style="97" hidden="1" customWidth="1"/>
    <col min="36" max="16384" width="9" style="13"/>
  </cols>
  <sheetData>
    <row r="1" spans="1:38" ht="9.6" customHeight="1" x14ac:dyDescent="0.45">
      <c r="A1" s="69"/>
      <c r="B1" s="1"/>
      <c r="C1" s="1"/>
      <c r="D1" s="1"/>
      <c r="E1" s="2"/>
      <c r="F1" s="3"/>
      <c r="G1" s="3"/>
      <c r="H1" s="3"/>
      <c r="I1" s="83"/>
      <c r="J1" s="4"/>
      <c r="K1" s="103"/>
      <c r="L1" s="104"/>
      <c r="M1" s="105" t="s">
        <v>0</v>
      </c>
      <c r="N1" s="6"/>
      <c r="O1" s="3"/>
      <c r="P1" s="7"/>
      <c r="Q1" s="8"/>
      <c r="R1" s="5"/>
      <c r="S1" s="7"/>
      <c r="T1" s="8"/>
      <c r="U1" s="5"/>
      <c r="V1" s="9"/>
      <c r="W1" s="9"/>
      <c r="X1" s="9"/>
      <c r="Y1" s="10"/>
      <c r="Z1" s="11"/>
      <c r="AA1" s="11"/>
      <c r="AB1" s="12"/>
      <c r="AC1" s="12"/>
      <c r="AD1" s="4"/>
      <c r="AE1" s="11"/>
      <c r="AF1" s="12"/>
      <c r="AG1" s="12"/>
      <c r="AH1" s="98"/>
      <c r="AI1" s="93"/>
    </row>
    <row r="2" spans="1:38" ht="31.5" customHeight="1" x14ac:dyDescent="0.45">
      <c r="A2" s="256"/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</row>
    <row r="3" spans="1:38" ht="24" customHeight="1" x14ac:dyDescent="0.4">
      <c r="A3" s="78">
        <v>33</v>
      </c>
      <c r="B3" s="79"/>
      <c r="C3" s="80">
        <v>29</v>
      </c>
      <c r="D3" s="81">
        <f>94.361/4.1868</f>
        <v>22.537737651667147</v>
      </c>
      <c r="E3" s="82"/>
      <c r="F3" s="3"/>
      <c r="G3" s="3"/>
      <c r="H3" s="3"/>
      <c r="I3" s="84"/>
      <c r="J3" s="16"/>
      <c r="K3" s="106"/>
      <c r="L3" s="107"/>
      <c r="N3" s="14"/>
      <c r="O3" s="14"/>
      <c r="P3" s="17"/>
      <c r="Q3" s="18"/>
      <c r="R3" s="19"/>
      <c r="S3" s="17"/>
      <c r="T3" s="18"/>
      <c r="U3" s="67"/>
      <c r="V3" s="17"/>
      <c r="W3" s="17"/>
      <c r="X3" s="17"/>
      <c r="Y3" s="20"/>
      <c r="Z3" s="21"/>
      <c r="AA3" s="21"/>
      <c r="AB3" s="22"/>
      <c r="AC3" s="23"/>
      <c r="AD3" s="24"/>
      <c r="AE3" s="25"/>
      <c r="AF3" s="22"/>
      <c r="AG3" s="23" t="s">
        <v>1</v>
      </c>
      <c r="AH3" s="99"/>
      <c r="AI3" s="94" t="s">
        <v>44</v>
      </c>
    </row>
    <row r="4" spans="1:38" ht="16.5" customHeight="1" x14ac:dyDescent="0.4">
      <c r="A4" s="70"/>
      <c r="B4" s="26"/>
      <c r="C4" s="68" t="s">
        <v>34</v>
      </c>
      <c r="D4" s="27"/>
      <c r="E4" s="28"/>
      <c r="F4" s="3"/>
      <c r="G4" s="3"/>
      <c r="H4" s="3"/>
      <c r="I4" s="84"/>
      <c r="J4" s="16"/>
      <c r="K4" s="103"/>
      <c r="L4" s="90"/>
      <c r="M4" s="109"/>
      <c r="N4" s="30"/>
      <c r="O4" s="3"/>
      <c r="P4" s="3"/>
      <c r="Q4" s="31"/>
      <c r="R4" s="29"/>
      <c r="S4" s="32"/>
      <c r="T4" s="22"/>
      <c r="U4" s="20"/>
      <c r="V4" s="20"/>
      <c r="W4" s="29"/>
      <c r="X4" s="29"/>
      <c r="Y4" s="20"/>
      <c r="Z4" s="21"/>
      <c r="AA4" s="21"/>
      <c r="AB4" s="22"/>
      <c r="AC4" s="33"/>
      <c r="AD4" s="34"/>
      <c r="AE4" s="35"/>
      <c r="AF4" s="22"/>
      <c r="AG4" s="33"/>
      <c r="AH4" s="100"/>
      <c r="AI4" s="95"/>
    </row>
    <row r="5" spans="1:38" ht="10.5" customHeight="1" thickBot="1" x14ac:dyDescent="0.3">
      <c r="A5" s="71"/>
      <c r="B5" s="37"/>
      <c r="C5" s="37"/>
      <c r="D5" s="37"/>
      <c r="E5" s="38"/>
      <c r="F5" s="38"/>
      <c r="G5" s="38"/>
      <c r="H5" s="38"/>
      <c r="I5" s="85"/>
      <c r="J5" s="32"/>
      <c r="K5" s="106"/>
      <c r="L5" s="110"/>
      <c r="M5" s="91"/>
      <c r="N5" s="20"/>
      <c r="O5" s="39"/>
      <c r="P5" s="40"/>
      <c r="Q5" s="20"/>
      <c r="R5" s="22"/>
      <c r="S5" s="32"/>
      <c r="T5" s="20"/>
      <c r="U5" s="20"/>
      <c r="V5" s="20"/>
      <c r="W5" s="20"/>
      <c r="X5" s="20"/>
      <c r="Y5" s="20"/>
      <c r="Z5" s="21"/>
      <c r="AA5" s="21"/>
      <c r="AB5" s="22"/>
      <c r="AC5" s="33"/>
      <c r="AD5" s="36"/>
      <c r="AE5" s="35"/>
      <c r="AF5" s="22"/>
      <c r="AG5" s="33"/>
      <c r="AH5" s="100"/>
      <c r="AI5" s="96"/>
    </row>
    <row r="6" spans="1:38" s="48" customFormat="1" ht="15" customHeight="1" x14ac:dyDescent="0.25">
      <c r="A6" s="257" t="s">
        <v>40</v>
      </c>
      <c r="B6" s="41" t="s">
        <v>2</v>
      </c>
      <c r="C6" s="42" t="s">
        <v>3</v>
      </c>
      <c r="D6" s="42"/>
      <c r="E6" s="43" t="s">
        <v>4</v>
      </c>
      <c r="F6" s="43" t="s">
        <v>5</v>
      </c>
      <c r="G6" s="43"/>
      <c r="H6" s="43"/>
      <c r="I6" s="86" t="s">
        <v>6</v>
      </c>
      <c r="J6" s="44"/>
      <c r="K6" s="102" t="s">
        <v>7</v>
      </c>
      <c r="L6" s="45" t="s">
        <v>8</v>
      </c>
      <c r="M6" s="45" t="s">
        <v>9</v>
      </c>
      <c r="N6" s="46" t="s">
        <v>10</v>
      </c>
      <c r="O6" s="46"/>
      <c r="P6" s="47"/>
      <c r="Q6" s="259" t="s">
        <v>33</v>
      </c>
      <c r="R6" s="260"/>
      <c r="S6" s="259" t="s">
        <v>24</v>
      </c>
      <c r="T6" s="261"/>
      <c r="U6" s="260"/>
      <c r="V6" s="259" t="s">
        <v>25</v>
      </c>
      <c r="W6" s="260"/>
      <c r="X6" s="45" t="s">
        <v>32</v>
      </c>
      <c r="Y6" s="45" t="s">
        <v>11</v>
      </c>
      <c r="Z6" s="44"/>
      <c r="AA6" s="44"/>
      <c r="AB6" s="45" t="s">
        <v>12</v>
      </c>
      <c r="AC6" s="45"/>
      <c r="AD6" s="42"/>
      <c r="AE6" s="41" t="s">
        <v>13</v>
      </c>
      <c r="AF6" s="45" t="s">
        <v>14</v>
      </c>
      <c r="AG6" s="45"/>
      <c r="AH6" s="122" t="s">
        <v>45</v>
      </c>
      <c r="AI6" s="116" t="s">
        <v>46</v>
      </c>
    </row>
    <row r="7" spans="1:38" s="73" customFormat="1" ht="15" customHeight="1" thickBot="1" x14ac:dyDescent="0.2">
      <c r="A7" s="258"/>
      <c r="B7" s="130"/>
      <c r="C7" s="131" t="s">
        <v>42</v>
      </c>
      <c r="D7" s="131" t="s">
        <v>41</v>
      </c>
      <c r="E7" s="132" t="s">
        <v>15</v>
      </c>
      <c r="F7" s="132" t="s">
        <v>26</v>
      </c>
      <c r="G7" s="132" t="s">
        <v>38</v>
      </c>
      <c r="H7" s="132" t="s">
        <v>39</v>
      </c>
      <c r="I7" s="133" t="s">
        <v>16</v>
      </c>
      <c r="J7" s="131" t="s">
        <v>27</v>
      </c>
      <c r="K7" s="134" t="s">
        <v>28</v>
      </c>
      <c r="L7" s="134" t="s">
        <v>28</v>
      </c>
      <c r="M7" s="134" t="s">
        <v>17</v>
      </c>
      <c r="N7" s="135" t="s">
        <v>16</v>
      </c>
      <c r="O7" s="136" t="s">
        <v>18</v>
      </c>
      <c r="P7" s="137" t="s">
        <v>17</v>
      </c>
      <c r="Q7" s="138" t="s">
        <v>29</v>
      </c>
      <c r="R7" s="138" t="s">
        <v>17</v>
      </c>
      <c r="S7" s="130" t="s">
        <v>19</v>
      </c>
      <c r="T7" s="139" t="s">
        <v>20</v>
      </c>
      <c r="U7" s="139" t="s">
        <v>17</v>
      </c>
      <c r="V7" s="139" t="s">
        <v>21</v>
      </c>
      <c r="W7" s="139" t="s">
        <v>17</v>
      </c>
      <c r="X7" s="139" t="s">
        <v>21</v>
      </c>
      <c r="Y7" s="138" t="s">
        <v>17</v>
      </c>
      <c r="Z7" s="131" t="s">
        <v>22</v>
      </c>
      <c r="AA7" s="131" t="s">
        <v>37</v>
      </c>
      <c r="AB7" s="138" t="s">
        <v>17</v>
      </c>
      <c r="AC7" s="138" t="s">
        <v>22</v>
      </c>
      <c r="AD7" s="131" t="s">
        <v>30</v>
      </c>
      <c r="AE7" s="130"/>
      <c r="AF7" s="138" t="s">
        <v>17</v>
      </c>
      <c r="AG7" s="138" t="s">
        <v>22</v>
      </c>
      <c r="AH7" s="140"/>
      <c r="AI7" s="141"/>
    </row>
    <row r="8" spans="1:38" ht="18" customHeight="1" x14ac:dyDescent="0.25">
      <c r="A8" s="142" t="s">
        <v>54</v>
      </c>
      <c r="B8" s="143"/>
      <c r="C8" s="144"/>
      <c r="D8" s="144"/>
      <c r="E8" s="145"/>
      <c r="F8" s="145"/>
      <c r="G8" s="146"/>
      <c r="H8" s="146"/>
      <c r="I8" s="147"/>
      <c r="J8" s="148"/>
      <c r="K8" s="149"/>
      <c r="L8" s="150"/>
      <c r="M8" s="151"/>
      <c r="N8" s="152"/>
      <c r="O8" s="153"/>
      <c r="P8" s="154"/>
      <c r="Q8" s="155"/>
      <c r="R8" s="150"/>
      <c r="S8" s="148"/>
      <c r="T8" s="150"/>
      <c r="U8" s="156"/>
      <c r="V8" s="151"/>
      <c r="W8" s="151"/>
      <c r="X8" s="157"/>
      <c r="Y8" s="151"/>
      <c r="Z8" s="158"/>
      <c r="AA8" s="159"/>
      <c r="AB8" s="151"/>
      <c r="AC8" s="158"/>
      <c r="AD8" s="159"/>
      <c r="AE8" s="160"/>
      <c r="AF8" s="151">
        <f t="shared" ref="AF8:AF13" si="0">AB8*0.6</f>
        <v>0</v>
      </c>
      <c r="AG8" s="159">
        <f t="shared" ref="AG8:AG16" si="1">AF8/3024</f>
        <v>0</v>
      </c>
      <c r="AH8" s="128"/>
      <c r="AI8" s="129"/>
      <c r="AJ8" s="13">
        <v>39000</v>
      </c>
      <c r="AK8" s="13">
        <f>AJ8/56.8</f>
        <v>686.61971830985919</v>
      </c>
    </row>
    <row r="9" spans="1:38" ht="18" customHeight="1" x14ac:dyDescent="0.25">
      <c r="A9" s="161" t="s">
        <v>55</v>
      </c>
      <c r="B9" s="162"/>
      <c r="C9" s="144">
        <v>24</v>
      </c>
      <c r="D9" s="163">
        <v>55</v>
      </c>
      <c r="E9" s="164">
        <f t="shared" ref="E9:E90" si="2">52.7528/4.1868</f>
        <v>12.599789815610968</v>
      </c>
      <c r="F9" s="165">
        <v>3.5</v>
      </c>
      <c r="G9" s="164"/>
      <c r="H9" s="164"/>
      <c r="I9" s="166">
        <v>38.6</v>
      </c>
      <c r="J9" s="163">
        <f t="shared" ref="J9:J11" si="3">I9/3.3</f>
        <v>11.696969696969697</v>
      </c>
      <c r="K9" s="167">
        <v>450</v>
      </c>
      <c r="L9" s="168">
        <f t="shared" ref="L9:L16" si="4">(K9/2*F9/3.2+K9/2*($A$3-C9)/($A$3-26))</f>
        <v>535.37946428571422</v>
      </c>
      <c r="M9" s="169">
        <f t="shared" ref="M9:M90" si="5">J9*L9</f>
        <v>6262.3173701298692</v>
      </c>
      <c r="N9" s="170"/>
      <c r="O9" s="171"/>
      <c r="P9" s="172">
        <f>O9*N9</f>
        <v>0</v>
      </c>
      <c r="Q9" s="168">
        <v>18</v>
      </c>
      <c r="R9" s="168">
        <f t="shared" ref="R9:R83" si="6">IF(Q9&gt;0,(Q9-(J9/6))*130,0)</f>
        <v>2086.5656565656568</v>
      </c>
      <c r="S9" s="163">
        <v>0</v>
      </c>
      <c r="T9" s="168"/>
      <c r="U9" s="173">
        <f>IF((S9*0.746+T9/1000-(4/(0.3048^2))*I9/1000)*860&lt;0,0,(S9*0.746+T9/1000-(4/(0.3048^2))*I9/1000)*860)</f>
        <v>0</v>
      </c>
      <c r="V9" s="169">
        <f t="shared" ref="V9:V14" si="7">Q9*20</f>
        <v>360</v>
      </c>
      <c r="W9" s="169">
        <f t="shared" ref="W9:W87" si="8">72*V9/60*(D$3-E9)</f>
        <v>4293.1934651762695</v>
      </c>
      <c r="X9" s="174"/>
      <c r="Y9" s="169">
        <f t="shared" ref="Y9:Y90" si="9">U9+R9+P9+M9</f>
        <v>8348.8830266955265</v>
      </c>
      <c r="Z9" s="175">
        <f t="shared" ref="Z9:Z90" si="10">Y9/3024</f>
        <v>2.7608740167643937</v>
      </c>
      <c r="AA9" s="176">
        <f t="shared" ref="AA9:AA90" si="11">$J9/Z9</f>
        <v>4.236690854397609</v>
      </c>
      <c r="AB9" s="169">
        <f t="shared" ref="AB9:AB90" si="12">W9+U9+R9+P9+M9</f>
        <v>12642.076491871796</v>
      </c>
      <c r="AC9" s="175">
        <f t="shared" ref="AC9:AC90" si="13">AB9/3024</f>
        <v>4.180580850486705</v>
      </c>
      <c r="AD9" s="176">
        <f t="shared" ref="AD9:AD90" si="14">$J9/AC9</f>
        <v>2.7979293106143208</v>
      </c>
      <c r="AE9" s="177"/>
      <c r="AF9" s="169">
        <f t="shared" si="0"/>
        <v>7585.2458951230774</v>
      </c>
      <c r="AG9" s="176">
        <f t="shared" si="1"/>
        <v>2.5083485102920231</v>
      </c>
      <c r="AH9" s="113"/>
      <c r="AI9" s="117"/>
      <c r="AJ9" s="13">
        <f>AC9*686.6</f>
        <v>2870.3868119441718</v>
      </c>
      <c r="AK9" s="54">
        <v>3450</v>
      </c>
      <c r="AL9" s="244">
        <f>AJ9/600</f>
        <v>4.7839780199069528</v>
      </c>
    </row>
    <row r="10" spans="1:38" ht="18" customHeight="1" x14ac:dyDescent="0.25">
      <c r="A10" s="161" t="s">
        <v>56</v>
      </c>
      <c r="B10" s="162"/>
      <c r="C10" s="144">
        <v>24</v>
      </c>
      <c r="D10" s="163">
        <v>55</v>
      </c>
      <c r="E10" s="164">
        <f t="shared" si="2"/>
        <v>12.599789815610968</v>
      </c>
      <c r="F10" s="165">
        <v>3.5</v>
      </c>
      <c r="G10" s="164"/>
      <c r="H10" s="164"/>
      <c r="I10" s="166">
        <v>17.7</v>
      </c>
      <c r="J10" s="163">
        <f t="shared" si="3"/>
        <v>5.3636363636363633</v>
      </c>
      <c r="K10" s="167">
        <v>450</v>
      </c>
      <c r="L10" s="168">
        <f t="shared" si="4"/>
        <v>535.37946428571422</v>
      </c>
      <c r="M10" s="169">
        <f t="shared" si="5"/>
        <v>2871.5807629870123</v>
      </c>
      <c r="N10" s="170"/>
      <c r="O10" s="171"/>
      <c r="P10" s="172">
        <f>O10*N10</f>
        <v>0</v>
      </c>
      <c r="Q10" s="168">
        <v>5</v>
      </c>
      <c r="R10" s="168">
        <f t="shared" si="6"/>
        <v>533.78787878787887</v>
      </c>
      <c r="S10" s="163">
        <v>0</v>
      </c>
      <c r="T10" s="168"/>
      <c r="U10" s="173">
        <f>IF((S10*0.746+T10/1000-(4/(0.3048^2))*I10/1000)*860&lt;0,0,(S10*0.746+T10/1000-(4/(0.3048^2))*I10/1000)*860)</f>
        <v>0</v>
      </c>
      <c r="V10" s="169">
        <f t="shared" si="7"/>
        <v>100</v>
      </c>
      <c r="W10" s="169">
        <f t="shared" si="8"/>
        <v>1192.5537403267415</v>
      </c>
      <c r="X10" s="174"/>
      <c r="Y10" s="169">
        <f t="shared" si="9"/>
        <v>3405.3686417748913</v>
      </c>
      <c r="Z10" s="175">
        <f t="shared" si="10"/>
        <v>1.1261139688409032</v>
      </c>
      <c r="AA10" s="176">
        <f t="shared" si="11"/>
        <v>4.7629605102555432</v>
      </c>
      <c r="AB10" s="169">
        <f t="shared" si="12"/>
        <v>4597.922382101633</v>
      </c>
      <c r="AC10" s="175">
        <f t="shared" si="13"/>
        <v>1.5204769782082119</v>
      </c>
      <c r="AD10" s="176">
        <f t="shared" si="14"/>
        <v>3.527601167600102</v>
      </c>
      <c r="AE10" s="177"/>
      <c r="AF10" s="169">
        <f t="shared" si="0"/>
        <v>2758.7534292609798</v>
      </c>
      <c r="AG10" s="176">
        <f t="shared" si="1"/>
        <v>0.91228618692492724</v>
      </c>
      <c r="AH10" s="113"/>
      <c r="AI10" s="117"/>
      <c r="AJ10" s="13">
        <f t="shared" ref="AJ10:AJ16" si="15">AC10*686.6</f>
        <v>1043.9594932377584</v>
      </c>
      <c r="AK10" s="54">
        <v>1100</v>
      </c>
      <c r="AL10" s="244">
        <f t="shared" ref="AL10:AL29" si="16">AJ10/600</f>
        <v>1.7399324887295973</v>
      </c>
    </row>
    <row r="11" spans="1:38" ht="18" customHeight="1" x14ac:dyDescent="0.25">
      <c r="A11" s="161" t="s">
        <v>57</v>
      </c>
      <c r="B11" s="162"/>
      <c r="C11" s="144">
        <v>24</v>
      </c>
      <c r="D11" s="163">
        <v>55</v>
      </c>
      <c r="E11" s="164">
        <f t="shared" si="2"/>
        <v>12.599789815610968</v>
      </c>
      <c r="F11" s="165">
        <v>3.5</v>
      </c>
      <c r="G11" s="164"/>
      <c r="H11" s="164"/>
      <c r="I11" s="166">
        <v>47.5</v>
      </c>
      <c r="J11" s="163">
        <f t="shared" si="3"/>
        <v>14.393939393939394</v>
      </c>
      <c r="K11" s="167">
        <v>450</v>
      </c>
      <c r="L11" s="168">
        <f>(K11/2*F11/3.2+K11/2*($A$3-C11)/($A$3-26))</f>
        <v>535.37946428571422</v>
      </c>
      <c r="M11" s="169">
        <f t="shared" si="5"/>
        <v>7706.2195616883109</v>
      </c>
      <c r="N11" s="170"/>
      <c r="O11" s="171"/>
      <c r="P11" s="172">
        <f>O11*N11</f>
        <v>0</v>
      </c>
      <c r="Q11" s="168">
        <v>20</v>
      </c>
      <c r="R11" s="168">
        <f t="shared" si="6"/>
        <v>2288.1313131313132</v>
      </c>
      <c r="S11" s="163">
        <v>0</v>
      </c>
      <c r="T11" s="168"/>
      <c r="U11" s="173">
        <f>IF((S11*0.746+T11/1000-(4/(0.3048^2))*I11/1000)*860&lt;0,0,(S11*0.746+T11/1000-(4/(0.3048^2))*I11/1000)*860)</f>
        <v>0</v>
      </c>
      <c r="V11" s="169">
        <f t="shared" si="7"/>
        <v>400</v>
      </c>
      <c r="W11" s="169">
        <f t="shared" si="8"/>
        <v>4770.214961306966</v>
      </c>
      <c r="X11" s="174"/>
      <c r="Y11" s="169">
        <f t="shared" si="9"/>
        <v>9994.3508748196236</v>
      </c>
      <c r="Z11" s="175">
        <f t="shared" si="10"/>
        <v>3.3050102099271244</v>
      </c>
      <c r="AA11" s="176">
        <f t="shared" si="11"/>
        <v>4.3551875727054963</v>
      </c>
      <c r="AB11" s="169">
        <f t="shared" si="12"/>
        <v>14764.565836126591</v>
      </c>
      <c r="AC11" s="175">
        <f t="shared" si="13"/>
        <v>4.8824622473963597</v>
      </c>
      <c r="AD11" s="176">
        <f t="shared" si="14"/>
        <v>2.9480902595028073</v>
      </c>
      <c r="AE11" s="177"/>
      <c r="AF11" s="169">
        <f t="shared" si="0"/>
        <v>8858.7395016759547</v>
      </c>
      <c r="AG11" s="176">
        <f t="shared" si="1"/>
        <v>2.9294773484378158</v>
      </c>
      <c r="AH11" s="113"/>
      <c r="AI11" s="117"/>
      <c r="AJ11" s="13">
        <f t="shared" si="15"/>
        <v>3352.2985790623407</v>
      </c>
      <c r="AK11" s="54">
        <v>3450</v>
      </c>
      <c r="AL11" s="244">
        <f t="shared" si="16"/>
        <v>5.5871642984372345</v>
      </c>
    </row>
    <row r="12" spans="1:38" ht="18" customHeight="1" x14ac:dyDescent="0.25">
      <c r="A12" s="161" t="s">
        <v>58</v>
      </c>
      <c r="B12" s="162"/>
      <c r="C12" s="144">
        <v>24</v>
      </c>
      <c r="D12" s="163">
        <v>55</v>
      </c>
      <c r="E12" s="164">
        <f t="shared" si="2"/>
        <v>12.599789815610968</v>
      </c>
      <c r="F12" s="164">
        <v>3.5</v>
      </c>
      <c r="G12" s="164"/>
      <c r="H12" s="164"/>
      <c r="I12" s="166">
        <v>95.5</v>
      </c>
      <c r="J12" s="163">
        <f t="shared" ref="J12:J90" si="17">I12/3.3</f>
        <v>28.939393939393941</v>
      </c>
      <c r="K12" s="167">
        <v>450</v>
      </c>
      <c r="L12" s="168">
        <f>(K12/2*F12/3.2+K12/2*($A$3-C12)/($A$3-26))</f>
        <v>535.37946428571422</v>
      </c>
      <c r="M12" s="169">
        <f t="shared" si="5"/>
        <v>15493.557224025973</v>
      </c>
      <c r="N12" s="170"/>
      <c r="O12" s="171"/>
      <c r="P12" s="172">
        <f>O12*N12</f>
        <v>0</v>
      </c>
      <c r="Q12" s="168">
        <v>32</v>
      </c>
      <c r="R12" s="168">
        <f t="shared" si="6"/>
        <v>3532.9797979797977</v>
      </c>
      <c r="S12" s="163">
        <v>0</v>
      </c>
      <c r="T12" s="168"/>
      <c r="U12" s="173">
        <f>IF((S12*0.746+T12/1000-(4/(0.3048^2))*I12/1000)*860&lt;0,0,(S12*0.746+T12/1000-(4/(0.3048^2))*I12/1000)*860)</f>
        <v>0</v>
      </c>
      <c r="V12" s="169">
        <f t="shared" si="7"/>
        <v>640</v>
      </c>
      <c r="W12" s="169">
        <f t="shared" si="8"/>
        <v>7632.343938091145</v>
      </c>
      <c r="X12" s="174"/>
      <c r="Y12" s="169">
        <f t="shared" si="9"/>
        <v>19026.53702200577</v>
      </c>
      <c r="Z12" s="175">
        <f t="shared" si="10"/>
        <v>6.2918442533087866</v>
      </c>
      <c r="AA12" s="176">
        <f t="shared" si="11"/>
        <v>4.5995089475037698</v>
      </c>
      <c r="AB12" s="169">
        <f t="shared" si="12"/>
        <v>26658.880960096918</v>
      </c>
      <c r="AC12" s="175">
        <f t="shared" si="13"/>
        <v>8.8157675132595621</v>
      </c>
      <c r="AD12" s="176">
        <f t="shared" si="14"/>
        <v>3.282685698762696</v>
      </c>
      <c r="AE12" s="177"/>
      <c r="AF12" s="169">
        <f t="shared" si="0"/>
        <v>15995.328576058149</v>
      </c>
      <c r="AG12" s="176">
        <f t="shared" si="1"/>
        <v>5.2894605079557371</v>
      </c>
      <c r="AH12" s="113"/>
      <c r="AI12" s="117"/>
      <c r="AJ12" s="13">
        <f t="shared" si="15"/>
        <v>6052.9059746040157</v>
      </c>
      <c r="AK12" s="54">
        <v>6000</v>
      </c>
      <c r="AL12" s="244">
        <f t="shared" si="16"/>
        <v>10.088176624340026</v>
      </c>
    </row>
    <row r="13" spans="1:38" ht="18" customHeight="1" x14ac:dyDescent="0.25">
      <c r="A13" s="161" t="s">
        <v>59</v>
      </c>
      <c r="B13" s="162"/>
      <c r="C13" s="144">
        <v>24</v>
      </c>
      <c r="D13" s="163">
        <v>55</v>
      </c>
      <c r="E13" s="164">
        <f t="shared" si="2"/>
        <v>12.599789815610968</v>
      </c>
      <c r="F13" s="164">
        <v>3.5</v>
      </c>
      <c r="G13" s="164"/>
      <c r="H13" s="164"/>
      <c r="I13" s="166">
        <v>51</v>
      </c>
      <c r="J13" s="163">
        <f t="shared" si="17"/>
        <v>15.454545454545455</v>
      </c>
      <c r="K13" s="167">
        <v>450</v>
      </c>
      <c r="L13" s="168">
        <f t="shared" si="4"/>
        <v>535.37946428571422</v>
      </c>
      <c r="M13" s="169">
        <f t="shared" si="5"/>
        <v>8274.046266233765</v>
      </c>
      <c r="N13" s="170"/>
      <c r="O13" s="171"/>
      <c r="P13" s="172"/>
      <c r="Q13" s="168">
        <v>5</v>
      </c>
      <c r="R13" s="168">
        <f t="shared" si="6"/>
        <v>315.15151515151518</v>
      </c>
      <c r="S13" s="163"/>
      <c r="T13" s="168"/>
      <c r="U13" s="173"/>
      <c r="V13" s="169">
        <f t="shared" si="7"/>
        <v>100</v>
      </c>
      <c r="W13" s="169">
        <f t="shared" si="8"/>
        <v>1192.5537403267415</v>
      </c>
      <c r="X13" s="174"/>
      <c r="Y13" s="169">
        <f t="shared" si="9"/>
        <v>8589.1977813852809</v>
      </c>
      <c r="Z13" s="175">
        <f t="shared" si="10"/>
        <v>2.8403431816750269</v>
      </c>
      <c r="AA13" s="176">
        <f t="shared" si="11"/>
        <v>5.441083864179924</v>
      </c>
      <c r="AB13" s="169">
        <f t="shared" si="12"/>
        <v>9781.7515217120217</v>
      </c>
      <c r="AC13" s="175">
        <f t="shared" si="13"/>
        <v>3.2347061910423354</v>
      </c>
      <c r="AD13" s="176">
        <f t="shared" si="14"/>
        <v>4.7777277260428592</v>
      </c>
      <c r="AE13" s="177"/>
      <c r="AF13" s="169">
        <f t="shared" si="0"/>
        <v>5869.050913027213</v>
      </c>
      <c r="AG13" s="176">
        <f t="shared" si="1"/>
        <v>1.940823714625401</v>
      </c>
      <c r="AH13" s="113"/>
      <c r="AI13" s="117"/>
      <c r="AJ13" s="13">
        <f t="shared" si="15"/>
        <v>2220.9492707696677</v>
      </c>
      <c r="AK13" s="54">
        <v>2300</v>
      </c>
      <c r="AL13" s="244">
        <f t="shared" si="16"/>
        <v>3.7015821179494464</v>
      </c>
    </row>
    <row r="14" spans="1:38" ht="18" customHeight="1" x14ac:dyDescent="0.25">
      <c r="A14" s="161" t="s">
        <v>60</v>
      </c>
      <c r="B14" s="162"/>
      <c r="C14" s="144">
        <v>24</v>
      </c>
      <c r="D14" s="163">
        <v>55</v>
      </c>
      <c r="E14" s="164">
        <f t="shared" si="2"/>
        <v>12.599789815610968</v>
      </c>
      <c r="F14" s="164">
        <v>3.5</v>
      </c>
      <c r="G14" s="164"/>
      <c r="H14" s="164"/>
      <c r="I14" s="166">
        <v>19.7</v>
      </c>
      <c r="J14" s="163">
        <f t="shared" si="17"/>
        <v>5.9696969696969697</v>
      </c>
      <c r="K14" s="167">
        <v>450</v>
      </c>
      <c r="L14" s="168">
        <f t="shared" si="4"/>
        <v>535.37946428571422</v>
      </c>
      <c r="M14" s="169">
        <f t="shared" si="5"/>
        <v>3196.0531655844152</v>
      </c>
      <c r="N14" s="170"/>
      <c r="O14" s="171"/>
      <c r="P14" s="172">
        <f t="shared" ref="P14:P83" si="18">O14*N14</f>
        <v>0</v>
      </c>
      <c r="Q14" s="168">
        <v>6</v>
      </c>
      <c r="R14" s="168">
        <f t="shared" si="6"/>
        <v>650.6565656565657</v>
      </c>
      <c r="S14" s="163">
        <v>0</v>
      </c>
      <c r="T14" s="168"/>
      <c r="U14" s="173">
        <f t="shared" ref="U14:U16" si="19">IF((S14*0.746+T14/1000-(4/(0.3048^2))*I14/1000)*860&lt;0,0,(S14*0.746+T14/1000-(4/(0.3048^2))*I14/1000)*860)</f>
        <v>0</v>
      </c>
      <c r="V14" s="178">
        <f t="shared" si="7"/>
        <v>120</v>
      </c>
      <c r="W14" s="169">
        <f t="shared" si="8"/>
        <v>1431.0644883920897</v>
      </c>
      <c r="X14" s="174"/>
      <c r="Y14" s="169">
        <f t="shared" si="9"/>
        <v>3846.709731240981</v>
      </c>
      <c r="Z14" s="175">
        <f t="shared" si="10"/>
        <v>1.2720600963098483</v>
      </c>
      <c r="AA14" s="176">
        <f t="shared" si="11"/>
        <v>4.6929362747991359</v>
      </c>
      <c r="AB14" s="169">
        <f t="shared" si="12"/>
        <v>5277.774219633071</v>
      </c>
      <c r="AC14" s="175">
        <f t="shared" si="13"/>
        <v>1.7452957075506188</v>
      </c>
      <c r="AD14" s="176">
        <f t="shared" si="14"/>
        <v>3.4204501528712039</v>
      </c>
      <c r="AE14" s="177"/>
      <c r="AF14" s="169">
        <f>AB14*0.6</f>
        <v>3166.6645317798425</v>
      </c>
      <c r="AG14" s="176">
        <f t="shared" si="1"/>
        <v>1.0471774245303711</v>
      </c>
      <c r="AH14" s="113"/>
      <c r="AI14" s="117"/>
      <c r="AJ14" s="13">
        <f t="shared" si="15"/>
        <v>1198.3200328042549</v>
      </c>
      <c r="AK14" s="54">
        <v>1450</v>
      </c>
      <c r="AL14" s="244">
        <f t="shared" si="16"/>
        <v>1.9972000546737581</v>
      </c>
    </row>
    <row r="15" spans="1:38" ht="18" customHeight="1" x14ac:dyDescent="0.25">
      <c r="A15" s="161" t="s">
        <v>61</v>
      </c>
      <c r="B15" s="162"/>
      <c r="C15" s="144">
        <v>24</v>
      </c>
      <c r="D15" s="163">
        <v>55</v>
      </c>
      <c r="E15" s="164">
        <f t="shared" si="2"/>
        <v>12.599789815610968</v>
      </c>
      <c r="F15" s="164">
        <v>7</v>
      </c>
      <c r="G15" s="164"/>
      <c r="H15" s="164"/>
      <c r="I15" s="166">
        <v>101</v>
      </c>
      <c r="J15" s="163">
        <f t="shared" si="17"/>
        <v>30.606060606060609</v>
      </c>
      <c r="K15" s="167">
        <v>450</v>
      </c>
      <c r="L15" s="168">
        <f t="shared" si="4"/>
        <v>781.47321428571422</v>
      </c>
      <c r="M15" s="169">
        <f t="shared" si="5"/>
        <v>23917.816558441558</v>
      </c>
      <c r="N15" s="170"/>
      <c r="O15" s="171"/>
      <c r="P15" s="172">
        <f t="shared" si="18"/>
        <v>0</v>
      </c>
      <c r="Q15" s="168">
        <v>12</v>
      </c>
      <c r="R15" s="168">
        <f t="shared" si="6"/>
        <v>896.86868686868684</v>
      </c>
      <c r="S15" s="163">
        <v>0</v>
      </c>
      <c r="T15" s="168"/>
      <c r="U15" s="173">
        <f t="shared" si="19"/>
        <v>0</v>
      </c>
      <c r="V15" s="178">
        <f>Q15*35</f>
        <v>420</v>
      </c>
      <c r="W15" s="169">
        <f t="shared" si="8"/>
        <v>5008.7257093723138</v>
      </c>
      <c r="X15" s="174"/>
      <c r="Y15" s="169">
        <f t="shared" si="9"/>
        <v>24814.685245310244</v>
      </c>
      <c r="Z15" s="175">
        <f t="shared" si="10"/>
        <v>8.2059144329729641</v>
      </c>
      <c r="AA15" s="176">
        <f t="shared" si="11"/>
        <v>3.7297562454562638</v>
      </c>
      <c r="AB15" s="169">
        <f t="shared" si="12"/>
        <v>29823.410954682557</v>
      </c>
      <c r="AC15" s="175">
        <f t="shared" si="13"/>
        <v>9.8622390723156599</v>
      </c>
      <c r="AD15" s="176">
        <f t="shared" si="14"/>
        <v>3.1033582112174742</v>
      </c>
      <c r="AE15" s="177"/>
      <c r="AF15" s="169">
        <f>AB15*0.6</f>
        <v>17894.046572809533</v>
      </c>
      <c r="AG15" s="176">
        <f t="shared" si="1"/>
        <v>5.9173434433893961</v>
      </c>
      <c r="AH15" s="113"/>
      <c r="AI15" s="117"/>
      <c r="AJ15" s="13">
        <f t="shared" si="15"/>
        <v>6771.4133470519319</v>
      </c>
      <c r="AK15" s="54" t="s">
        <v>120</v>
      </c>
      <c r="AL15" s="244">
        <f t="shared" si="16"/>
        <v>11.285688911753219</v>
      </c>
    </row>
    <row r="16" spans="1:38" ht="42.75" x14ac:dyDescent="0.25">
      <c r="A16" s="219" t="s">
        <v>97</v>
      </c>
      <c r="B16" s="162"/>
      <c r="C16" s="211">
        <v>24</v>
      </c>
      <c r="D16" s="212">
        <v>55</v>
      </c>
      <c r="E16" s="213">
        <f t="shared" si="2"/>
        <v>12.599789815610968</v>
      </c>
      <c r="F16" s="213">
        <v>4</v>
      </c>
      <c r="G16" s="204"/>
      <c r="H16" s="204"/>
      <c r="I16" s="214">
        <v>245</v>
      </c>
      <c r="J16" s="212">
        <f t="shared" si="17"/>
        <v>74.242424242424249</v>
      </c>
      <c r="K16" s="236">
        <v>450</v>
      </c>
      <c r="L16" s="215">
        <f t="shared" si="4"/>
        <v>570.53571428571422</v>
      </c>
      <c r="M16" s="216">
        <f t="shared" si="5"/>
        <v>42357.954545454544</v>
      </c>
      <c r="N16" s="205"/>
      <c r="O16" s="206"/>
      <c r="P16" s="207">
        <f t="shared" si="18"/>
        <v>0</v>
      </c>
      <c r="Q16" s="220">
        <v>50</v>
      </c>
      <c r="R16" s="220">
        <f t="shared" si="6"/>
        <v>4891.4141414141413</v>
      </c>
      <c r="S16" s="208">
        <v>0</v>
      </c>
      <c r="T16" s="209"/>
      <c r="U16" s="209">
        <f t="shared" si="19"/>
        <v>0</v>
      </c>
      <c r="V16" s="221">
        <f t="shared" ref="V16:V87" si="20">Q16*35</f>
        <v>1750</v>
      </c>
      <c r="W16" s="222">
        <f t="shared" si="8"/>
        <v>20869.690455717973</v>
      </c>
      <c r="X16" s="210"/>
      <c r="Y16" s="216">
        <f t="shared" si="9"/>
        <v>47249.368686868685</v>
      </c>
      <c r="Z16" s="217">
        <f t="shared" si="10"/>
        <v>15.624791232430121</v>
      </c>
      <c r="AA16" s="218">
        <f t="shared" si="11"/>
        <v>4.7515786379487732</v>
      </c>
      <c r="AB16" s="216">
        <f t="shared" si="12"/>
        <v>68119.059142586659</v>
      </c>
      <c r="AC16" s="217">
        <f t="shared" si="13"/>
        <v>22.526143896358022</v>
      </c>
      <c r="AD16" s="218">
        <f t="shared" si="14"/>
        <v>3.2958337025640505</v>
      </c>
      <c r="AE16" s="177"/>
      <c r="AF16" s="169">
        <f>AB16*0.6</f>
        <v>40871.435485551992</v>
      </c>
      <c r="AG16" s="176">
        <f t="shared" si="1"/>
        <v>13.515686337814813</v>
      </c>
      <c r="AH16" s="113"/>
      <c r="AI16" s="117"/>
      <c r="AJ16" s="13">
        <f t="shared" si="15"/>
        <v>15466.450399239418</v>
      </c>
      <c r="AK16" s="54" t="s">
        <v>123</v>
      </c>
      <c r="AL16" s="244">
        <f t="shared" si="16"/>
        <v>25.777417332065696</v>
      </c>
    </row>
    <row r="17" spans="1:38" ht="18" customHeight="1" x14ac:dyDescent="0.25">
      <c r="A17" s="161"/>
      <c r="B17" s="162"/>
      <c r="C17" s="223"/>
      <c r="D17" s="163"/>
      <c r="E17" s="164"/>
      <c r="F17" s="164"/>
      <c r="G17" s="164"/>
      <c r="H17" s="164"/>
      <c r="I17" s="166"/>
      <c r="J17" s="163"/>
      <c r="K17" s="167"/>
      <c r="L17" s="168"/>
      <c r="M17" s="169"/>
      <c r="N17" s="170"/>
      <c r="O17" s="171"/>
      <c r="P17" s="172"/>
      <c r="Q17" s="168"/>
      <c r="R17" s="168"/>
      <c r="S17" s="163"/>
      <c r="T17" s="168"/>
      <c r="U17" s="173"/>
      <c r="V17" s="178"/>
      <c r="W17" s="169"/>
      <c r="X17" s="174"/>
      <c r="Y17" s="169"/>
      <c r="Z17" s="175"/>
      <c r="AA17" s="176"/>
      <c r="AB17" s="169"/>
      <c r="AC17" s="175"/>
      <c r="AD17" s="176"/>
      <c r="AE17" s="177"/>
      <c r="AF17" s="169"/>
      <c r="AG17" s="176"/>
      <c r="AH17" s="113"/>
      <c r="AI17" s="117"/>
      <c r="AL17" s="243">
        <f t="shared" si="16"/>
        <v>0</v>
      </c>
    </row>
    <row r="18" spans="1:38" ht="18" customHeight="1" x14ac:dyDescent="0.25">
      <c r="A18" s="161"/>
      <c r="B18" s="162"/>
      <c r="C18" s="144"/>
      <c r="D18" s="163"/>
      <c r="E18" s="164"/>
      <c r="F18" s="164"/>
      <c r="G18" s="164"/>
      <c r="H18" s="164"/>
      <c r="I18" s="166"/>
      <c r="J18" s="163"/>
      <c r="K18" s="167"/>
      <c r="L18" s="168"/>
      <c r="M18" s="169"/>
      <c r="N18" s="170"/>
      <c r="O18" s="171"/>
      <c r="P18" s="172"/>
      <c r="Q18" s="168"/>
      <c r="R18" s="168"/>
      <c r="S18" s="163"/>
      <c r="T18" s="168"/>
      <c r="U18" s="173"/>
      <c r="V18" s="178"/>
      <c r="W18" s="169"/>
      <c r="X18" s="174"/>
      <c r="Y18" s="169"/>
      <c r="Z18" s="175"/>
      <c r="AA18" s="176"/>
      <c r="AB18" s="169"/>
      <c r="AC18" s="175"/>
      <c r="AD18" s="176"/>
      <c r="AE18" s="177"/>
      <c r="AF18" s="169"/>
      <c r="AG18" s="176"/>
      <c r="AH18" s="113"/>
      <c r="AI18" s="117"/>
      <c r="AL18" s="243">
        <f t="shared" si="16"/>
        <v>0</v>
      </c>
    </row>
    <row r="19" spans="1:38" ht="18" customHeight="1" x14ac:dyDescent="0.25">
      <c r="A19" s="161" t="s">
        <v>62</v>
      </c>
      <c r="B19" s="162"/>
      <c r="C19" s="144"/>
      <c r="D19" s="163"/>
      <c r="E19" s="164"/>
      <c r="F19" s="164"/>
      <c r="G19" s="164"/>
      <c r="H19" s="164"/>
      <c r="I19" s="166"/>
      <c r="J19" s="163"/>
      <c r="K19" s="167"/>
      <c r="L19" s="168"/>
      <c r="M19" s="169"/>
      <c r="N19" s="170"/>
      <c r="O19" s="171"/>
      <c r="P19" s="172"/>
      <c r="Q19" s="168"/>
      <c r="R19" s="168"/>
      <c r="S19" s="163"/>
      <c r="T19" s="168"/>
      <c r="U19" s="173"/>
      <c r="V19" s="178"/>
      <c r="W19" s="169"/>
      <c r="X19" s="174"/>
      <c r="Y19" s="169"/>
      <c r="Z19" s="175"/>
      <c r="AA19" s="176"/>
      <c r="AB19" s="169"/>
      <c r="AC19" s="175"/>
      <c r="AD19" s="176"/>
      <c r="AE19" s="177"/>
      <c r="AF19" s="169"/>
      <c r="AG19" s="176"/>
      <c r="AH19" s="113"/>
      <c r="AI19" s="117"/>
      <c r="AJ19" s="13">
        <v>26000</v>
      </c>
      <c r="AK19" s="13">
        <f>AJ19/73.8</f>
        <v>352.30352303523034</v>
      </c>
      <c r="AL19" s="243"/>
    </row>
    <row r="20" spans="1:38" ht="18" customHeight="1" x14ac:dyDescent="0.25">
      <c r="A20" s="161" t="s">
        <v>63</v>
      </c>
      <c r="B20" s="162"/>
      <c r="C20" s="144">
        <v>24</v>
      </c>
      <c r="D20" s="163">
        <v>55</v>
      </c>
      <c r="E20" s="164">
        <f t="shared" si="2"/>
        <v>12.599789815610968</v>
      </c>
      <c r="F20" s="164">
        <v>3.5</v>
      </c>
      <c r="G20" s="164"/>
      <c r="H20" s="164"/>
      <c r="I20" s="166">
        <v>84</v>
      </c>
      <c r="J20" s="163">
        <f t="shared" ref="J20:J57" si="21">I20/3.3</f>
        <v>25.454545454545457</v>
      </c>
      <c r="K20" s="167">
        <v>450</v>
      </c>
      <c r="L20" s="168">
        <f t="shared" ref="L20:L57" si="22">(K20/2*F20/3.2+K20/2*($A$3-C20)/($A$3-26))</f>
        <v>535.37946428571422</v>
      </c>
      <c r="M20" s="169">
        <f t="shared" ref="M20:M57" si="23">J20*L20</f>
        <v>13627.840909090908</v>
      </c>
      <c r="N20" s="170"/>
      <c r="O20" s="171"/>
      <c r="P20" s="172">
        <f t="shared" ref="P20:P57" si="24">O20*N20</f>
        <v>0</v>
      </c>
      <c r="Q20" s="168">
        <v>55</v>
      </c>
      <c r="R20" s="168">
        <f t="shared" ref="R20:R57" si="25">IF(Q20&gt;0,(Q20-(J20/6))*130,0)</f>
        <v>6598.484848484849</v>
      </c>
      <c r="S20" s="163">
        <v>1</v>
      </c>
      <c r="T20" s="168"/>
      <c r="U20" s="173">
        <f t="shared" ref="U20:U21" si="26">IF((S20*0.746+T20/1000-(4/(0.3048^2))*I20/1000)*860&lt;0,0,(S20*0.746+T20/1000-(4/(0.3048^2))*I20/1000)*860)</f>
        <v>0</v>
      </c>
      <c r="V20" s="178">
        <f t="shared" ref="V20:V57" si="27">Q20*35</f>
        <v>1925</v>
      </c>
      <c r="W20" s="169">
        <f t="shared" ref="W20:W57" si="28">72*V20/60*(D$3-E20)</f>
        <v>22956.659501289771</v>
      </c>
      <c r="X20" s="174"/>
      <c r="Y20" s="169">
        <f t="shared" ref="Y20:Y57" si="29">U20+R20+P20+M20</f>
        <v>20226.325757575756</v>
      </c>
      <c r="Z20" s="175">
        <f t="shared" ref="Z20:Z57" si="30">Y20/3024</f>
        <v>6.68859978755812</v>
      </c>
      <c r="AA20" s="176">
        <f t="shared" ref="AA20:AA57" si="31">$J20/Z20</f>
        <v>3.8056613137319171</v>
      </c>
      <c r="AB20" s="169">
        <f t="shared" ref="AB20:AB57" si="32">W20+U20+R20+P20+M20</f>
        <v>43182.985258865527</v>
      </c>
      <c r="AC20" s="175">
        <f t="shared" ref="AC20:AC56" si="33">AB20/3024</f>
        <v>14.280087717878812</v>
      </c>
      <c r="AD20" s="176">
        <f t="shared" ref="AD20:AD57" si="34">$J20/AC20</f>
        <v>1.7825202447934625</v>
      </c>
      <c r="AE20" s="177"/>
      <c r="AF20" s="169"/>
      <c r="AG20" s="176"/>
      <c r="AH20" s="113"/>
      <c r="AI20" s="117"/>
      <c r="AJ20" s="13">
        <f>AC20*352</f>
        <v>5026.5908766933417</v>
      </c>
      <c r="AK20" s="13">
        <v>6000</v>
      </c>
      <c r="AL20" s="244">
        <f t="shared" si="16"/>
        <v>8.377651461155569</v>
      </c>
    </row>
    <row r="21" spans="1:38" ht="18" customHeight="1" x14ac:dyDescent="0.25">
      <c r="A21" s="161" t="s">
        <v>64</v>
      </c>
      <c r="B21" s="162"/>
      <c r="C21" s="144">
        <v>24</v>
      </c>
      <c r="D21" s="163">
        <v>55</v>
      </c>
      <c r="E21" s="164">
        <f t="shared" si="2"/>
        <v>12.599789815610968</v>
      </c>
      <c r="F21" s="164">
        <v>3.5</v>
      </c>
      <c r="G21" s="164"/>
      <c r="H21" s="164"/>
      <c r="I21" s="166">
        <v>84</v>
      </c>
      <c r="J21" s="163">
        <f t="shared" si="21"/>
        <v>25.454545454545457</v>
      </c>
      <c r="K21" s="167">
        <v>450</v>
      </c>
      <c r="L21" s="168">
        <f t="shared" si="22"/>
        <v>535.37946428571422</v>
      </c>
      <c r="M21" s="169">
        <f t="shared" si="23"/>
        <v>13627.840909090908</v>
      </c>
      <c r="N21" s="170"/>
      <c r="O21" s="171"/>
      <c r="P21" s="172">
        <f t="shared" si="24"/>
        <v>0</v>
      </c>
      <c r="Q21" s="168">
        <v>55</v>
      </c>
      <c r="R21" s="168">
        <f t="shared" si="25"/>
        <v>6598.484848484849</v>
      </c>
      <c r="S21" s="163">
        <v>2</v>
      </c>
      <c r="T21" s="168"/>
      <c r="U21" s="173">
        <f t="shared" si="26"/>
        <v>0</v>
      </c>
      <c r="V21" s="178">
        <f t="shared" si="27"/>
        <v>1925</v>
      </c>
      <c r="W21" s="169">
        <f t="shared" si="28"/>
        <v>22956.659501289771</v>
      </c>
      <c r="X21" s="174"/>
      <c r="Y21" s="169">
        <f t="shared" si="29"/>
        <v>20226.325757575756</v>
      </c>
      <c r="Z21" s="175">
        <f t="shared" si="30"/>
        <v>6.68859978755812</v>
      </c>
      <c r="AA21" s="176">
        <f t="shared" si="31"/>
        <v>3.8056613137319171</v>
      </c>
      <c r="AB21" s="169">
        <f t="shared" si="32"/>
        <v>43182.985258865527</v>
      </c>
      <c r="AC21" s="175">
        <f t="shared" si="33"/>
        <v>14.280087717878812</v>
      </c>
      <c r="AD21" s="176">
        <f t="shared" si="34"/>
        <v>1.7825202447934625</v>
      </c>
      <c r="AE21" s="177"/>
      <c r="AF21" s="169"/>
      <c r="AG21" s="176"/>
      <c r="AH21" s="113"/>
      <c r="AI21" s="117"/>
      <c r="AJ21" s="13">
        <f t="shared" ref="AJ21:AJ29" si="35">AC21*352</f>
        <v>5026.5908766933417</v>
      </c>
      <c r="AK21" s="13">
        <v>6000</v>
      </c>
      <c r="AL21" s="244">
        <f t="shared" si="16"/>
        <v>8.377651461155569</v>
      </c>
    </row>
    <row r="22" spans="1:38" ht="18" customHeight="1" x14ac:dyDescent="0.25">
      <c r="A22" s="161" t="s">
        <v>65</v>
      </c>
      <c r="B22" s="162"/>
      <c r="C22" s="144">
        <v>24</v>
      </c>
      <c r="D22" s="163">
        <v>55</v>
      </c>
      <c r="E22" s="164">
        <f t="shared" si="2"/>
        <v>12.599789815610968</v>
      </c>
      <c r="F22" s="164">
        <v>3.5</v>
      </c>
      <c r="G22" s="164"/>
      <c r="H22" s="164"/>
      <c r="I22" s="166">
        <v>17.100000000000001</v>
      </c>
      <c r="J22" s="163">
        <f t="shared" si="21"/>
        <v>5.1818181818181825</v>
      </c>
      <c r="K22" s="167">
        <v>450</v>
      </c>
      <c r="L22" s="168">
        <f t="shared" si="22"/>
        <v>535.37946428571422</v>
      </c>
      <c r="M22" s="169">
        <f t="shared" si="23"/>
        <v>2774.2390422077924</v>
      </c>
      <c r="N22" s="170"/>
      <c r="O22" s="171"/>
      <c r="P22" s="172">
        <f t="shared" si="24"/>
        <v>0</v>
      </c>
      <c r="Q22" s="168">
        <v>3</v>
      </c>
      <c r="R22" s="168">
        <f t="shared" si="25"/>
        <v>277.72727272727269</v>
      </c>
      <c r="S22" s="163">
        <v>3</v>
      </c>
      <c r="T22" s="168"/>
      <c r="U22" s="173"/>
      <c r="V22" s="178">
        <f t="shared" si="27"/>
        <v>105</v>
      </c>
      <c r="W22" s="169">
        <f t="shared" si="28"/>
        <v>1252.1814273430784</v>
      </c>
      <c r="X22" s="174"/>
      <c r="Y22" s="169">
        <f t="shared" si="29"/>
        <v>3051.9663149350649</v>
      </c>
      <c r="Z22" s="175">
        <f t="shared" si="30"/>
        <v>1.0092481200182093</v>
      </c>
      <c r="AA22" s="176">
        <f t="shared" si="31"/>
        <v>5.1343352333662908</v>
      </c>
      <c r="AB22" s="169">
        <f t="shared" si="32"/>
        <v>4304.1477422781436</v>
      </c>
      <c r="AC22" s="175">
        <f t="shared" si="33"/>
        <v>1.4233292798538835</v>
      </c>
      <c r="AD22" s="176">
        <f t="shared" si="34"/>
        <v>3.6406320414838507</v>
      </c>
      <c r="AE22" s="177"/>
      <c r="AF22" s="169"/>
      <c r="AG22" s="176"/>
      <c r="AH22" s="113"/>
      <c r="AI22" s="117"/>
      <c r="AJ22" s="13">
        <f t="shared" si="35"/>
        <v>501.01190650856699</v>
      </c>
      <c r="AK22" s="13">
        <v>550</v>
      </c>
      <c r="AL22" s="244">
        <f t="shared" si="16"/>
        <v>0.83501984418094499</v>
      </c>
    </row>
    <row r="23" spans="1:38" ht="18" customHeight="1" x14ac:dyDescent="0.25">
      <c r="A23" s="161" t="s">
        <v>66</v>
      </c>
      <c r="B23" s="162"/>
      <c r="C23" s="144">
        <v>24</v>
      </c>
      <c r="D23" s="163">
        <v>55</v>
      </c>
      <c r="E23" s="164">
        <f t="shared" si="2"/>
        <v>12.599789815610968</v>
      </c>
      <c r="F23" s="164">
        <v>3.5</v>
      </c>
      <c r="G23" s="164"/>
      <c r="H23" s="164"/>
      <c r="I23" s="166">
        <v>79</v>
      </c>
      <c r="J23" s="163">
        <f t="shared" si="21"/>
        <v>23.939393939393941</v>
      </c>
      <c r="K23" s="167">
        <v>450</v>
      </c>
      <c r="L23" s="168">
        <f t="shared" si="22"/>
        <v>535.37946428571422</v>
      </c>
      <c r="M23" s="169">
        <f t="shared" si="23"/>
        <v>12816.659902597403</v>
      </c>
      <c r="N23" s="170"/>
      <c r="O23" s="171"/>
      <c r="P23" s="172">
        <f t="shared" si="24"/>
        <v>0</v>
      </c>
      <c r="Q23" s="168">
        <v>17</v>
      </c>
      <c r="R23" s="168">
        <f t="shared" si="25"/>
        <v>1691.3131313131314</v>
      </c>
      <c r="S23" s="163">
        <v>4</v>
      </c>
      <c r="T23" s="168"/>
      <c r="U23" s="173"/>
      <c r="V23" s="178">
        <f t="shared" si="27"/>
        <v>595</v>
      </c>
      <c r="W23" s="169">
        <f t="shared" si="28"/>
        <v>7095.6947549441111</v>
      </c>
      <c r="X23" s="174"/>
      <c r="Y23" s="169">
        <f t="shared" si="29"/>
        <v>14507.973033910534</v>
      </c>
      <c r="Z23" s="175">
        <f t="shared" si="30"/>
        <v>4.79761013026142</v>
      </c>
      <c r="AA23" s="176">
        <f t="shared" si="31"/>
        <v>4.9898581354899489</v>
      </c>
      <c r="AB23" s="169">
        <f t="shared" si="32"/>
        <v>21603.667788854647</v>
      </c>
      <c r="AC23" s="175">
        <f t="shared" si="33"/>
        <v>7.1440700359969069</v>
      </c>
      <c r="AD23" s="176">
        <f t="shared" si="34"/>
        <v>3.3509461439725876</v>
      </c>
      <c r="AE23" s="177"/>
      <c r="AF23" s="169"/>
      <c r="AG23" s="176"/>
      <c r="AH23" s="113"/>
      <c r="AI23" s="117"/>
      <c r="AJ23" s="13">
        <f t="shared" si="35"/>
        <v>2514.7126526709112</v>
      </c>
      <c r="AK23" s="13">
        <v>3450</v>
      </c>
      <c r="AL23" s="244">
        <f t="shared" si="16"/>
        <v>4.1911877544515184</v>
      </c>
    </row>
    <row r="24" spans="1:38" ht="18" customHeight="1" x14ac:dyDescent="0.25">
      <c r="A24" s="161" t="s">
        <v>67</v>
      </c>
      <c r="B24" s="162"/>
      <c r="C24" s="144">
        <v>24</v>
      </c>
      <c r="D24" s="163">
        <v>55</v>
      </c>
      <c r="E24" s="164">
        <f t="shared" si="2"/>
        <v>12.599789815610968</v>
      </c>
      <c r="F24" s="164">
        <v>3.5</v>
      </c>
      <c r="G24" s="164"/>
      <c r="H24" s="164"/>
      <c r="I24" s="166">
        <v>7.4</v>
      </c>
      <c r="J24" s="163">
        <f t="shared" si="21"/>
        <v>2.2424242424242427</v>
      </c>
      <c r="K24" s="167">
        <v>450</v>
      </c>
      <c r="L24" s="168">
        <f t="shared" si="22"/>
        <v>535.37946428571422</v>
      </c>
      <c r="M24" s="169">
        <f t="shared" si="23"/>
        <v>1200.5478896103896</v>
      </c>
      <c r="N24" s="170"/>
      <c r="O24" s="171"/>
      <c r="P24" s="172">
        <f t="shared" si="24"/>
        <v>0</v>
      </c>
      <c r="Q24" s="168">
        <v>2</v>
      </c>
      <c r="R24" s="168">
        <f t="shared" si="25"/>
        <v>211.41414141414143</v>
      </c>
      <c r="S24" s="163">
        <v>5</v>
      </c>
      <c r="T24" s="168"/>
      <c r="U24" s="173"/>
      <c r="V24" s="178">
        <f t="shared" si="27"/>
        <v>70</v>
      </c>
      <c r="W24" s="169">
        <f t="shared" si="28"/>
        <v>834.787618228719</v>
      </c>
      <c r="X24" s="174"/>
      <c r="Y24" s="169">
        <f t="shared" si="29"/>
        <v>1411.9620310245309</v>
      </c>
      <c r="Z24" s="175">
        <f t="shared" si="30"/>
        <v>0.4669186610530856</v>
      </c>
      <c r="AA24" s="176">
        <f t="shared" si="31"/>
        <v>4.8026014581783736</v>
      </c>
      <c r="AB24" s="169">
        <f t="shared" si="32"/>
        <v>2246.74964925325</v>
      </c>
      <c r="AC24" s="175">
        <f t="shared" si="33"/>
        <v>0.7429727676102017</v>
      </c>
      <c r="AD24" s="176">
        <f t="shared" si="34"/>
        <v>3.0181782431098787</v>
      </c>
      <c r="AE24" s="177"/>
      <c r="AF24" s="169"/>
      <c r="AG24" s="176"/>
      <c r="AH24" s="113"/>
      <c r="AI24" s="117"/>
      <c r="AJ24" s="13">
        <f t="shared" si="35"/>
        <v>261.52641419879097</v>
      </c>
      <c r="AK24" s="13">
        <v>550</v>
      </c>
      <c r="AL24" s="244">
        <f t="shared" si="16"/>
        <v>0.43587735699798497</v>
      </c>
    </row>
    <row r="25" spans="1:38" ht="18" customHeight="1" x14ac:dyDescent="0.25">
      <c r="A25" s="161" t="s">
        <v>68</v>
      </c>
      <c r="B25" s="162"/>
      <c r="C25" s="144">
        <v>24</v>
      </c>
      <c r="D25" s="163">
        <v>55</v>
      </c>
      <c r="E25" s="164">
        <f t="shared" si="2"/>
        <v>12.599789815610968</v>
      </c>
      <c r="F25" s="164">
        <v>3.5</v>
      </c>
      <c r="G25" s="164"/>
      <c r="H25" s="164"/>
      <c r="I25" s="166">
        <v>14.8</v>
      </c>
      <c r="J25" s="163">
        <f t="shared" si="21"/>
        <v>4.4848484848484853</v>
      </c>
      <c r="K25" s="167">
        <v>450</v>
      </c>
      <c r="L25" s="168">
        <f t="shared" si="22"/>
        <v>535.37946428571422</v>
      </c>
      <c r="M25" s="169">
        <f t="shared" si="23"/>
        <v>2401.0957792207791</v>
      </c>
      <c r="N25" s="170"/>
      <c r="O25" s="171"/>
      <c r="P25" s="172">
        <f t="shared" si="24"/>
        <v>0</v>
      </c>
      <c r="Q25" s="168">
        <v>6</v>
      </c>
      <c r="R25" s="168">
        <f t="shared" si="25"/>
        <v>682.82828282828279</v>
      </c>
      <c r="S25" s="163">
        <v>6</v>
      </c>
      <c r="T25" s="168"/>
      <c r="U25" s="173"/>
      <c r="V25" s="178">
        <f t="shared" si="27"/>
        <v>210</v>
      </c>
      <c r="W25" s="169">
        <f t="shared" si="28"/>
        <v>2504.3628546861569</v>
      </c>
      <c r="X25" s="174"/>
      <c r="Y25" s="169">
        <f t="shared" si="29"/>
        <v>3083.9240620490618</v>
      </c>
      <c r="Z25" s="175">
        <f t="shared" si="30"/>
        <v>1.0198161580850071</v>
      </c>
      <c r="AA25" s="176">
        <f t="shared" si="31"/>
        <v>4.3977029087968704</v>
      </c>
      <c r="AB25" s="169">
        <f t="shared" si="32"/>
        <v>5588.2869167352183</v>
      </c>
      <c r="AC25" s="175">
        <f t="shared" si="33"/>
        <v>1.8479784777563553</v>
      </c>
      <c r="AD25" s="176">
        <f t="shared" si="34"/>
        <v>2.4268943274131494</v>
      </c>
      <c r="AE25" s="177"/>
      <c r="AF25" s="169"/>
      <c r="AG25" s="176"/>
      <c r="AH25" s="113"/>
      <c r="AI25" s="117"/>
      <c r="AJ25" s="13">
        <f t="shared" si="35"/>
        <v>650.48842417023707</v>
      </c>
      <c r="AK25" s="13">
        <v>850</v>
      </c>
      <c r="AL25" s="244">
        <f t="shared" si="16"/>
        <v>1.0841473736170617</v>
      </c>
    </row>
    <row r="26" spans="1:38" ht="18" customHeight="1" x14ac:dyDescent="0.25">
      <c r="A26" s="161" t="s">
        <v>69</v>
      </c>
      <c r="B26" s="162"/>
      <c r="C26" s="144">
        <v>24</v>
      </c>
      <c r="D26" s="163">
        <v>55</v>
      </c>
      <c r="E26" s="164">
        <f t="shared" si="2"/>
        <v>12.599789815610968</v>
      </c>
      <c r="F26" s="164">
        <v>3.5</v>
      </c>
      <c r="G26" s="164"/>
      <c r="H26" s="164"/>
      <c r="I26" s="166">
        <v>353.46</v>
      </c>
      <c r="J26" s="163">
        <f t="shared" si="21"/>
        <v>107.10909090909091</v>
      </c>
      <c r="K26" s="167">
        <v>450</v>
      </c>
      <c r="L26" s="168">
        <f t="shared" si="22"/>
        <v>535.37946428571422</v>
      </c>
      <c r="M26" s="169">
        <f t="shared" si="23"/>
        <v>57344.007711038954</v>
      </c>
      <c r="N26" s="170"/>
      <c r="O26" s="171"/>
      <c r="P26" s="172">
        <f t="shared" si="24"/>
        <v>0</v>
      </c>
      <c r="Q26" s="168">
        <v>54</v>
      </c>
      <c r="R26" s="168">
        <f t="shared" si="25"/>
        <v>4699.30303030303</v>
      </c>
      <c r="S26" s="163">
        <v>7</v>
      </c>
      <c r="T26" s="168"/>
      <c r="U26" s="173"/>
      <c r="V26" s="178">
        <f t="shared" si="27"/>
        <v>1890</v>
      </c>
      <c r="W26" s="169">
        <f t="shared" si="28"/>
        <v>22539.265692175413</v>
      </c>
      <c r="X26" s="174"/>
      <c r="Y26" s="169">
        <f t="shared" si="29"/>
        <v>62043.310741341986</v>
      </c>
      <c r="Z26" s="175">
        <f t="shared" si="30"/>
        <v>20.516967837745366</v>
      </c>
      <c r="AA26" s="176">
        <f t="shared" si="31"/>
        <v>5.2205126876516692</v>
      </c>
      <c r="AB26" s="169">
        <f t="shared" si="32"/>
        <v>84582.576433517388</v>
      </c>
      <c r="AC26" s="175">
        <f t="shared" si="33"/>
        <v>27.970428714787495</v>
      </c>
      <c r="AD26" s="176">
        <f t="shared" si="34"/>
        <v>3.8293689382195324</v>
      </c>
      <c r="AE26" s="177"/>
      <c r="AF26" s="169"/>
      <c r="AG26" s="176"/>
      <c r="AH26" s="113"/>
      <c r="AI26" s="117"/>
      <c r="AJ26" s="13">
        <f t="shared" si="35"/>
        <v>9845.5909076051976</v>
      </c>
      <c r="AK26" s="13" t="s">
        <v>121</v>
      </c>
      <c r="AL26" s="244">
        <f t="shared" si="16"/>
        <v>16.409318179341994</v>
      </c>
    </row>
    <row r="27" spans="1:38" ht="18" customHeight="1" x14ac:dyDescent="0.25">
      <c r="A27" s="161" t="s">
        <v>70</v>
      </c>
      <c r="B27" s="162"/>
      <c r="C27" s="144">
        <v>24</v>
      </c>
      <c r="D27" s="163">
        <v>55</v>
      </c>
      <c r="E27" s="164">
        <f t="shared" si="2"/>
        <v>12.599789815610968</v>
      </c>
      <c r="F27" s="164">
        <v>3.5</v>
      </c>
      <c r="G27" s="164"/>
      <c r="H27" s="164"/>
      <c r="I27" s="166">
        <v>18.3</v>
      </c>
      <c r="J27" s="163">
        <f t="shared" si="21"/>
        <v>5.5454545454545459</v>
      </c>
      <c r="K27" s="167">
        <v>450</v>
      </c>
      <c r="L27" s="168">
        <f t="shared" si="22"/>
        <v>535.37946428571422</v>
      </c>
      <c r="M27" s="169">
        <f t="shared" si="23"/>
        <v>2968.9224837662337</v>
      </c>
      <c r="N27" s="170"/>
      <c r="O27" s="171"/>
      <c r="P27" s="172">
        <f t="shared" si="24"/>
        <v>0</v>
      </c>
      <c r="Q27" s="168">
        <v>6</v>
      </c>
      <c r="R27" s="168">
        <f t="shared" si="25"/>
        <v>659.84848484848487</v>
      </c>
      <c r="S27" s="163">
        <v>8</v>
      </c>
      <c r="T27" s="168"/>
      <c r="U27" s="173"/>
      <c r="V27" s="178">
        <f t="shared" si="27"/>
        <v>210</v>
      </c>
      <c r="W27" s="169">
        <f t="shared" si="28"/>
        <v>2504.3628546861569</v>
      </c>
      <c r="X27" s="174"/>
      <c r="Y27" s="169">
        <f t="shared" si="29"/>
        <v>3628.7709686147186</v>
      </c>
      <c r="Z27" s="175">
        <f t="shared" si="30"/>
        <v>1.1999903996741794</v>
      </c>
      <c r="AA27" s="176">
        <f t="shared" si="31"/>
        <v>4.6212490924596095</v>
      </c>
      <c r="AB27" s="169">
        <f t="shared" si="32"/>
        <v>6133.1338233008755</v>
      </c>
      <c r="AC27" s="175">
        <f t="shared" si="33"/>
        <v>2.0281527193455275</v>
      </c>
      <c r="AD27" s="176">
        <f t="shared" si="34"/>
        <v>2.7342391391729266</v>
      </c>
      <c r="AE27" s="177"/>
      <c r="AF27" s="169"/>
      <c r="AG27" s="176"/>
      <c r="AH27" s="113"/>
      <c r="AI27" s="117"/>
      <c r="AJ27" s="13">
        <f t="shared" si="35"/>
        <v>713.9097572096257</v>
      </c>
      <c r="AK27" s="13">
        <v>850</v>
      </c>
      <c r="AL27" s="244">
        <f t="shared" si="16"/>
        <v>1.1898495953493762</v>
      </c>
    </row>
    <row r="28" spans="1:38" ht="18" customHeight="1" x14ac:dyDescent="0.25">
      <c r="A28" s="161" t="s">
        <v>71</v>
      </c>
      <c r="B28" s="162"/>
      <c r="C28" s="144">
        <v>24</v>
      </c>
      <c r="D28" s="163">
        <v>55</v>
      </c>
      <c r="E28" s="164">
        <f t="shared" si="2"/>
        <v>12.599789815610968</v>
      </c>
      <c r="F28" s="164">
        <v>3.5</v>
      </c>
      <c r="G28" s="164"/>
      <c r="H28" s="164"/>
      <c r="I28" s="166">
        <v>18.3</v>
      </c>
      <c r="J28" s="163">
        <f t="shared" si="21"/>
        <v>5.5454545454545459</v>
      </c>
      <c r="K28" s="167">
        <v>450</v>
      </c>
      <c r="L28" s="168">
        <f t="shared" si="22"/>
        <v>535.37946428571422</v>
      </c>
      <c r="M28" s="169">
        <f t="shared" si="23"/>
        <v>2968.9224837662337</v>
      </c>
      <c r="N28" s="170"/>
      <c r="O28" s="171"/>
      <c r="P28" s="172">
        <f t="shared" si="24"/>
        <v>0</v>
      </c>
      <c r="Q28" s="168">
        <v>6</v>
      </c>
      <c r="R28" s="168">
        <f t="shared" si="25"/>
        <v>659.84848484848487</v>
      </c>
      <c r="S28" s="163">
        <v>9</v>
      </c>
      <c r="T28" s="168"/>
      <c r="U28" s="173"/>
      <c r="V28" s="178">
        <f t="shared" si="27"/>
        <v>210</v>
      </c>
      <c r="W28" s="169">
        <f t="shared" si="28"/>
        <v>2504.3628546861569</v>
      </c>
      <c r="X28" s="174"/>
      <c r="Y28" s="169">
        <f t="shared" si="29"/>
        <v>3628.7709686147186</v>
      </c>
      <c r="Z28" s="175">
        <f t="shared" si="30"/>
        <v>1.1999903996741794</v>
      </c>
      <c r="AA28" s="176">
        <f t="shared" si="31"/>
        <v>4.6212490924596095</v>
      </c>
      <c r="AB28" s="169">
        <f t="shared" si="32"/>
        <v>6133.1338233008755</v>
      </c>
      <c r="AC28" s="175">
        <f t="shared" si="33"/>
        <v>2.0281527193455275</v>
      </c>
      <c r="AD28" s="176">
        <f t="shared" si="34"/>
        <v>2.7342391391729266</v>
      </c>
      <c r="AE28" s="177"/>
      <c r="AF28" s="169"/>
      <c r="AG28" s="176"/>
      <c r="AH28" s="113"/>
      <c r="AI28" s="117"/>
      <c r="AJ28" s="13">
        <f t="shared" si="35"/>
        <v>713.9097572096257</v>
      </c>
      <c r="AK28" s="13">
        <v>850</v>
      </c>
      <c r="AL28" s="244">
        <f t="shared" si="16"/>
        <v>1.1898495953493762</v>
      </c>
    </row>
    <row r="29" spans="1:38" ht="18" customHeight="1" x14ac:dyDescent="0.25">
      <c r="A29" s="161" t="s">
        <v>72</v>
      </c>
      <c r="B29" s="162"/>
      <c r="C29" s="144">
        <v>24</v>
      </c>
      <c r="D29" s="163">
        <v>55</v>
      </c>
      <c r="E29" s="164">
        <f t="shared" si="2"/>
        <v>12.599789815610968</v>
      </c>
      <c r="F29" s="164">
        <v>3.5</v>
      </c>
      <c r="G29" s="164"/>
      <c r="H29" s="164"/>
      <c r="I29" s="166">
        <v>18.3</v>
      </c>
      <c r="J29" s="163">
        <f t="shared" si="21"/>
        <v>5.5454545454545459</v>
      </c>
      <c r="K29" s="167">
        <v>450</v>
      </c>
      <c r="L29" s="168">
        <f t="shared" si="22"/>
        <v>535.37946428571422</v>
      </c>
      <c r="M29" s="169">
        <f t="shared" si="23"/>
        <v>2968.9224837662337</v>
      </c>
      <c r="N29" s="170"/>
      <c r="O29" s="171"/>
      <c r="P29" s="172">
        <f t="shared" si="24"/>
        <v>0</v>
      </c>
      <c r="Q29" s="168">
        <v>6</v>
      </c>
      <c r="R29" s="168">
        <f t="shared" si="25"/>
        <v>659.84848484848487</v>
      </c>
      <c r="S29" s="163">
        <v>10</v>
      </c>
      <c r="T29" s="168"/>
      <c r="U29" s="173"/>
      <c r="V29" s="178">
        <f t="shared" si="27"/>
        <v>210</v>
      </c>
      <c r="W29" s="169">
        <f t="shared" si="28"/>
        <v>2504.3628546861569</v>
      </c>
      <c r="X29" s="174"/>
      <c r="Y29" s="169">
        <f t="shared" si="29"/>
        <v>3628.7709686147186</v>
      </c>
      <c r="Z29" s="175">
        <f t="shared" si="30"/>
        <v>1.1999903996741794</v>
      </c>
      <c r="AA29" s="176">
        <f t="shared" si="31"/>
        <v>4.6212490924596095</v>
      </c>
      <c r="AB29" s="169">
        <f t="shared" si="32"/>
        <v>6133.1338233008755</v>
      </c>
      <c r="AC29" s="175">
        <f t="shared" si="33"/>
        <v>2.0281527193455275</v>
      </c>
      <c r="AD29" s="176">
        <f t="shared" si="34"/>
        <v>2.7342391391729266</v>
      </c>
      <c r="AE29" s="177"/>
      <c r="AF29" s="169"/>
      <c r="AG29" s="176"/>
      <c r="AH29" s="113"/>
      <c r="AI29" s="117"/>
      <c r="AJ29" s="13">
        <f t="shared" si="35"/>
        <v>713.9097572096257</v>
      </c>
      <c r="AK29" s="13">
        <v>850</v>
      </c>
      <c r="AL29" s="244">
        <f t="shared" si="16"/>
        <v>1.1898495953493762</v>
      </c>
    </row>
    <row r="30" spans="1:38" ht="18" customHeight="1" x14ac:dyDescent="0.25">
      <c r="A30" s="161"/>
      <c r="B30" s="162"/>
      <c r="C30" s="144"/>
      <c r="D30" s="163"/>
      <c r="E30" s="164"/>
      <c r="F30" s="164"/>
      <c r="G30" s="164"/>
      <c r="H30" s="164"/>
      <c r="I30" s="166"/>
      <c r="J30" s="163"/>
      <c r="K30" s="167"/>
      <c r="L30" s="168"/>
      <c r="M30" s="169"/>
      <c r="N30" s="170"/>
      <c r="O30" s="171"/>
      <c r="P30" s="172"/>
      <c r="Q30" s="168"/>
      <c r="R30" s="168"/>
      <c r="S30" s="163"/>
      <c r="T30" s="168"/>
      <c r="U30" s="173"/>
      <c r="V30" s="178"/>
      <c r="W30" s="169"/>
      <c r="X30" s="174"/>
      <c r="Y30" s="169"/>
      <c r="Z30" s="175"/>
      <c r="AA30" s="176"/>
      <c r="AB30" s="169"/>
      <c r="AC30" s="175"/>
      <c r="AD30" s="176"/>
      <c r="AE30" s="177"/>
      <c r="AF30" s="169"/>
      <c r="AG30" s="176"/>
      <c r="AH30" s="113"/>
      <c r="AI30" s="117"/>
    </row>
    <row r="31" spans="1:38" ht="18" customHeight="1" x14ac:dyDescent="0.25">
      <c r="A31" s="161"/>
      <c r="B31" s="162"/>
      <c r="C31" s="144"/>
      <c r="D31" s="163"/>
      <c r="E31" s="164"/>
      <c r="F31" s="164"/>
      <c r="G31" s="164"/>
      <c r="H31" s="164"/>
      <c r="I31" s="166"/>
      <c r="J31" s="163"/>
      <c r="K31" s="167"/>
      <c r="L31" s="168"/>
      <c r="M31" s="169"/>
      <c r="N31" s="170"/>
      <c r="O31" s="171"/>
      <c r="P31" s="172"/>
      <c r="Q31" s="168"/>
      <c r="R31" s="168"/>
      <c r="S31" s="163"/>
      <c r="T31" s="168"/>
      <c r="U31" s="173"/>
      <c r="V31" s="178"/>
      <c r="W31" s="169"/>
      <c r="X31" s="174"/>
      <c r="Y31" s="169"/>
      <c r="Z31" s="175"/>
      <c r="AA31" s="176"/>
      <c r="AB31" s="169"/>
      <c r="AC31" s="175"/>
      <c r="AD31" s="176"/>
      <c r="AE31" s="177"/>
      <c r="AF31" s="169"/>
      <c r="AG31" s="176"/>
      <c r="AH31" s="113"/>
      <c r="AI31" s="117"/>
    </row>
    <row r="32" spans="1:38" ht="18" customHeight="1" x14ac:dyDescent="0.25">
      <c r="A32" s="161" t="s">
        <v>73</v>
      </c>
      <c r="B32" s="162"/>
      <c r="C32" s="144"/>
      <c r="D32" s="163"/>
      <c r="E32" s="164"/>
      <c r="F32" s="164"/>
      <c r="G32" s="164"/>
      <c r="H32" s="164"/>
      <c r="I32" s="166"/>
      <c r="J32" s="163"/>
      <c r="K32" s="167"/>
      <c r="L32" s="168"/>
      <c r="M32" s="169"/>
      <c r="N32" s="170"/>
      <c r="O32" s="171"/>
      <c r="P32" s="172"/>
      <c r="Q32" s="168"/>
      <c r="R32" s="168"/>
      <c r="S32" s="163"/>
      <c r="T32" s="168"/>
      <c r="U32" s="173"/>
      <c r="V32" s="178"/>
      <c r="W32" s="169"/>
      <c r="X32" s="174"/>
      <c r="Y32" s="169"/>
      <c r="Z32" s="175"/>
      <c r="AA32" s="176"/>
      <c r="AB32" s="169"/>
      <c r="AC32" s="175"/>
      <c r="AD32" s="176"/>
      <c r="AE32" s="177"/>
      <c r="AF32" s="169"/>
      <c r="AG32" s="176"/>
      <c r="AH32" s="113"/>
      <c r="AI32" s="117"/>
      <c r="AJ32" s="13">
        <v>26000</v>
      </c>
      <c r="AK32" s="13">
        <f>AJ32/71.5</f>
        <v>363.63636363636363</v>
      </c>
    </row>
    <row r="33" spans="1:38" ht="18" customHeight="1" x14ac:dyDescent="0.25">
      <c r="A33" s="245" t="s">
        <v>74</v>
      </c>
      <c r="B33" s="162"/>
      <c r="C33" s="144">
        <v>24</v>
      </c>
      <c r="D33" s="163">
        <v>55</v>
      </c>
      <c r="E33" s="164">
        <f t="shared" si="2"/>
        <v>12.599789815610968</v>
      </c>
      <c r="F33" s="164">
        <v>3.5</v>
      </c>
      <c r="G33" s="164"/>
      <c r="H33" s="164"/>
      <c r="I33" s="166">
        <v>11.5</v>
      </c>
      <c r="J33" s="163">
        <f t="shared" si="21"/>
        <v>3.4848484848484849</v>
      </c>
      <c r="K33" s="167">
        <v>450</v>
      </c>
      <c r="L33" s="168">
        <f t="shared" si="22"/>
        <v>535.37946428571422</v>
      </c>
      <c r="M33" s="169">
        <f t="shared" si="23"/>
        <v>1865.7163149350647</v>
      </c>
      <c r="N33" s="170"/>
      <c r="O33" s="171"/>
      <c r="P33" s="172">
        <f t="shared" si="24"/>
        <v>0</v>
      </c>
      <c r="Q33" s="168">
        <v>2</v>
      </c>
      <c r="R33" s="168">
        <f t="shared" si="25"/>
        <v>184.49494949494948</v>
      </c>
      <c r="S33" s="163">
        <v>14</v>
      </c>
      <c r="T33" s="168"/>
      <c r="U33" s="173"/>
      <c r="V33" s="178">
        <f t="shared" si="27"/>
        <v>70</v>
      </c>
      <c r="W33" s="169">
        <f t="shared" si="28"/>
        <v>834.787618228719</v>
      </c>
      <c r="X33" s="174"/>
      <c r="Y33" s="169">
        <f t="shared" si="29"/>
        <v>2050.2112644300141</v>
      </c>
      <c r="Z33" s="175">
        <f t="shared" si="30"/>
        <v>0.6779799154861158</v>
      </c>
      <c r="AA33" s="176">
        <f t="shared" si="31"/>
        <v>5.1400467849402691</v>
      </c>
      <c r="AB33" s="169">
        <f t="shared" si="32"/>
        <v>2884.9988826587332</v>
      </c>
      <c r="AC33" s="175">
        <f t="shared" si="33"/>
        <v>0.95403402204323184</v>
      </c>
      <c r="AD33" s="176">
        <f t="shared" si="34"/>
        <v>3.6527507450783236</v>
      </c>
      <c r="AE33" s="177"/>
      <c r="AF33" s="169"/>
      <c r="AG33" s="176"/>
      <c r="AH33" s="113"/>
      <c r="AI33" s="117"/>
    </row>
    <row r="34" spans="1:38" ht="18" customHeight="1" x14ac:dyDescent="0.25">
      <c r="A34" s="245" t="s">
        <v>75</v>
      </c>
      <c r="B34" s="162"/>
      <c r="C34" s="144">
        <v>24</v>
      </c>
      <c r="D34" s="163">
        <v>55</v>
      </c>
      <c r="E34" s="164">
        <f t="shared" si="2"/>
        <v>12.599789815610968</v>
      </c>
      <c r="F34" s="164">
        <v>3.5</v>
      </c>
      <c r="G34" s="164"/>
      <c r="H34" s="164"/>
      <c r="I34" s="166">
        <v>65</v>
      </c>
      <c r="J34" s="163">
        <f t="shared" si="21"/>
        <v>19.696969696969699</v>
      </c>
      <c r="K34" s="167">
        <v>450</v>
      </c>
      <c r="L34" s="168">
        <f t="shared" si="22"/>
        <v>535.37946428571422</v>
      </c>
      <c r="M34" s="169">
        <f t="shared" si="23"/>
        <v>10545.353084415585</v>
      </c>
      <c r="N34" s="170"/>
      <c r="O34" s="171"/>
      <c r="P34" s="172">
        <f t="shared" si="24"/>
        <v>0</v>
      </c>
      <c r="Q34" s="168">
        <v>10</v>
      </c>
      <c r="R34" s="168">
        <f t="shared" si="25"/>
        <v>873.2323232323231</v>
      </c>
      <c r="S34" s="163">
        <v>15</v>
      </c>
      <c r="T34" s="168"/>
      <c r="U34" s="173"/>
      <c r="V34" s="178">
        <f t="shared" si="27"/>
        <v>350</v>
      </c>
      <c r="W34" s="169">
        <f t="shared" si="28"/>
        <v>4173.9380911435946</v>
      </c>
      <c r="X34" s="174"/>
      <c r="Y34" s="169">
        <f t="shared" si="29"/>
        <v>11418.585407647908</v>
      </c>
      <c r="Z34" s="175">
        <f t="shared" si="30"/>
        <v>3.7759872379788058</v>
      </c>
      <c r="AA34" s="176">
        <f t="shared" si="31"/>
        <v>5.2163761304217244</v>
      </c>
      <c r="AB34" s="169">
        <f t="shared" si="32"/>
        <v>15592.523498791503</v>
      </c>
      <c r="AC34" s="175">
        <f t="shared" si="33"/>
        <v>5.1562577707643857</v>
      </c>
      <c r="AD34" s="176">
        <f t="shared" si="34"/>
        <v>3.8200126084948884</v>
      </c>
      <c r="AE34" s="177"/>
      <c r="AF34" s="169"/>
      <c r="AG34" s="176"/>
      <c r="AH34" s="113"/>
      <c r="AI34" s="117"/>
    </row>
    <row r="35" spans="1:38" ht="18" customHeight="1" x14ac:dyDescent="0.25">
      <c r="A35" s="245" t="s">
        <v>76</v>
      </c>
      <c r="B35" s="162"/>
      <c r="C35" s="144">
        <v>24</v>
      </c>
      <c r="D35" s="163">
        <v>55</v>
      </c>
      <c r="E35" s="164">
        <f t="shared" si="2"/>
        <v>12.599789815610968</v>
      </c>
      <c r="F35" s="164">
        <v>3.5</v>
      </c>
      <c r="G35" s="164"/>
      <c r="H35" s="164"/>
      <c r="I35" s="166">
        <v>33</v>
      </c>
      <c r="J35" s="163">
        <f t="shared" si="21"/>
        <v>10</v>
      </c>
      <c r="K35" s="167">
        <v>450</v>
      </c>
      <c r="L35" s="168">
        <f t="shared" si="22"/>
        <v>535.37946428571422</v>
      </c>
      <c r="M35" s="169">
        <f t="shared" si="23"/>
        <v>5353.7946428571422</v>
      </c>
      <c r="N35" s="170"/>
      <c r="O35" s="171"/>
      <c r="P35" s="172">
        <f t="shared" si="24"/>
        <v>0</v>
      </c>
      <c r="Q35" s="168">
        <v>30</v>
      </c>
      <c r="R35" s="168">
        <f t="shared" si="25"/>
        <v>3683.333333333333</v>
      </c>
      <c r="S35" s="163">
        <v>16</v>
      </c>
      <c r="T35" s="168"/>
      <c r="U35" s="173"/>
      <c r="V35" s="178">
        <f t="shared" si="27"/>
        <v>1050</v>
      </c>
      <c r="W35" s="169">
        <f t="shared" si="28"/>
        <v>12521.814273430784</v>
      </c>
      <c r="X35" s="174"/>
      <c r="Y35" s="169">
        <f t="shared" si="29"/>
        <v>9037.1279761904752</v>
      </c>
      <c r="Z35" s="175">
        <f t="shared" si="30"/>
        <v>2.988468246094734</v>
      </c>
      <c r="AA35" s="176">
        <f t="shared" si="31"/>
        <v>3.3461958356317769</v>
      </c>
      <c r="AB35" s="169">
        <f t="shared" si="32"/>
        <v>21558.942249621257</v>
      </c>
      <c r="AC35" s="175">
        <f t="shared" si="33"/>
        <v>7.1292798444514736</v>
      </c>
      <c r="AD35" s="176">
        <f t="shared" si="34"/>
        <v>1.4026662184936858</v>
      </c>
      <c r="AE35" s="177"/>
      <c r="AF35" s="169"/>
      <c r="AG35" s="176"/>
      <c r="AH35" s="113"/>
      <c r="AI35" s="117"/>
    </row>
    <row r="36" spans="1:38" ht="18" customHeight="1" x14ac:dyDescent="0.25">
      <c r="A36" s="245" t="s">
        <v>77</v>
      </c>
      <c r="B36" s="162"/>
      <c r="C36" s="144">
        <v>24</v>
      </c>
      <c r="D36" s="163">
        <v>55</v>
      </c>
      <c r="E36" s="164">
        <f t="shared" si="2"/>
        <v>12.599789815610968</v>
      </c>
      <c r="F36" s="164">
        <v>3.5</v>
      </c>
      <c r="G36" s="164"/>
      <c r="H36" s="164"/>
      <c r="I36" s="166">
        <v>65</v>
      </c>
      <c r="J36" s="163">
        <f t="shared" si="21"/>
        <v>19.696969696969699</v>
      </c>
      <c r="K36" s="167">
        <v>450</v>
      </c>
      <c r="L36" s="168">
        <f t="shared" si="22"/>
        <v>535.37946428571422</v>
      </c>
      <c r="M36" s="169">
        <f t="shared" si="23"/>
        <v>10545.353084415585</v>
      </c>
      <c r="N36" s="170"/>
      <c r="O36" s="171"/>
      <c r="P36" s="172">
        <f t="shared" si="24"/>
        <v>0</v>
      </c>
      <c r="Q36" s="168">
        <v>30</v>
      </c>
      <c r="R36" s="168">
        <f t="shared" si="25"/>
        <v>3473.2323232323233</v>
      </c>
      <c r="S36" s="163">
        <v>17</v>
      </c>
      <c r="T36" s="168"/>
      <c r="U36" s="173"/>
      <c r="V36" s="178">
        <f t="shared" si="27"/>
        <v>1050</v>
      </c>
      <c r="W36" s="169">
        <f t="shared" si="28"/>
        <v>12521.814273430784</v>
      </c>
      <c r="X36" s="174"/>
      <c r="Y36" s="169">
        <f t="shared" si="29"/>
        <v>14018.585407647908</v>
      </c>
      <c r="Z36" s="175">
        <f t="shared" si="30"/>
        <v>4.6357755977671653</v>
      </c>
      <c r="AA36" s="176">
        <f t="shared" si="31"/>
        <v>4.2489049095596432</v>
      </c>
      <c r="AB36" s="169">
        <f t="shared" si="32"/>
        <v>26540.399681078692</v>
      </c>
      <c r="AC36" s="175">
        <f t="shared" si="33"/>
        <v>8.7765871961239057</v>
      </c>
      <c r="AD36" s="176">
        <f t="shared" si="34"/>
        <v>2.2442629756665182</v>
      </c>
      <c r="AE36" s="177"/>
      <c r="AF36" s="169"/>
      <c r="AG36" s="176"/>
      <c r="AH36" s="113"/>
      <c r="AI36" s="117"/>
    </row>
    <row r="37" spans="1:38" ht="18" customHeight="1" x14ac:dyDescent="0.25">
      <c r="A37" s="245" t="s">
        <v>78</v>
      </c>
      <c r="B37" s="162"/>
      <c r="C37" s="144">
        <v>24</v>
      </c>
      <c r="D37" s="163">
        <v>55</v>
      </c>
      <c r="E37" s="164">
        <f t="shared" si="2"/>
        <v>12.599789815610968</v>
      </c>
      <c r="F37" s="164">
        <v>3.5</v>
      </c>
      <c r="G37" s="164"/>
      <c r="H37" s="164"/>
      <c r="I37" s="166">
        <v>65</v>
      </c>
      <c r="J37" s="163">
        <f t="shared" si="21"/>
        <v>19.696969696969699</v>
      </c>
      <c r="K37" s="167">
        <v>450</v>
      </c>
      <c r="L37" s="168">
        <f t="shared" si="22"/>
        <v>535.37946428571422</v>
      </c>
      <c r="M37" s="169">
        <f t="shared" si="23"/>
        <v>10545.353084415585</v>
      </c>
      <c r="N37" s="170"/>
      <c r="O37" s="171"/>
      <c r="P37" s="172">
        <f t="shared" si="24"/>
        <v>0</v>
      </c>
      <c r="Q37" s="168">
        <v>19</v>
      </c>
      <c r="R37" s="168">
        <f t="shared" si="25"/>
        <v>2043.2323232323231</v>
      </c>
      <c r="S37" s="163">
        <v>18</v>
      </c>
      <c r="T37" s="168"/>
      <c r="U37" s="173"/>
      <c r="V37" s="178">
        <f t="shared" si="27"/>
        <v>665</v>
      </c>
      <c r="W37" s="169">
        <f t="shared" si="28"/>
        <v>7930.4823731728302</v>
      </c>
      <c r="X37" s="174"/>
      <c r="Y37" s="169">
        <f t="shared" si="29"/>
        <v>12588.585407647908</v>
      </c>
      <c r="Z37" s="175">
        <f t="shared" si="30"/>
        <v>4.1628919998835672</v>
      </c>
      <c r="AA37" s="176">
        <f t="shared" si="31"/>
        <v>4.7315591414623794</v>
      </c>
      <c r="AB37" s="169">
        <f t="shared" si="32"/>
        <v>20519.06778082074</v>
      </c>
      <c r="AC37" s="175">
        <f t="shared" si="33"/>
        <v>6.7854060121761703</v>
      </c>
      <c r="AD37" s="176">
        <f t="shared" si="34"/>
        <v>2.9028431993051242</v>
      </c>
      <c r="AE37" s="177"/>
      <c r="AF37" s="169"/>
      <c r="AG37" s="176"/>
      <c r="AH37" s="113"/>
      <c r="AI37" s="117"/>
    </row>
    <row r="38" spans="1:38" ht="18" customHeight="1" x14ac:dyDescent="0.25">
      <c r="A38" s="245" t="s">
        <v>79</v>
      </c>
      <c r="B38" s="162"/>
      <c r="C38" s="144">
        <v>24</v>
      </c>
      <c r="D38" s="163">
        <v>55</v>
      </c>
      <c r="E38" s="164">
        <f t="shared" si="2"/>
        <v>12.599789815610968</v>
      </c>
      <c r="F38" s="164">
        <v>3.5</v>
      </c>
      <c r="G38" s="164"/>
      <c r="H38" s="164"/>
      <c r="I38" s="166">
        <v>65</v>
      </c>
      <c r="J38" s="163">
        <f t="shared" si="21"/>
        <v>19.696969696969699</v>
      </c>
      <c r="K38" s="167">
        <v>450</v>
      </c>
      <c r="L38" s="168">
        <f t="shared" si="22"/>
        <v>535.37946428571422</v>
      </c>
      <c r="M38" s="169">
        <f t="shared" si="23"/>
        <v>10545.353084415585</v>
      </c>
      <c r="N38" s="170"/>
      <c r="O38" s="171"/>
      <c r="P38" s="172">
        <f t="shared" si="24"/>
        <v>0</v>
      </c>
      <c r="Q38" s="168">
        <v>10</v>
      </c>
      <c r="R38" s="168">
        <f t="shared" si="25"/>
        <v>873.2323232323231</v>
      </c>
      <c r="S38" s="163">
        <v>19</v>
      </c>
      <c r="T38" s="168"/>
      <c r="U38" s="173"/>
      <c r="V38" s="178">
        <f t="shared" si="27"/>
        <v>350</v>
      </c>
      <c r="W38" s="169">
        <f t="shared" si="28"/>
        <v>4173.9380911435946</v>
      </c>
      <c r="X38" s="174"/>
      <c r="Y38" s="169">
        <f t="shared" si="29"/>
        <v>11418.585407647908</v>
      </c>
      <c r="Z38" s="175">
        <f t="shared" si="30"/>
        <v>3.7759872379788058</v>
      </c>
      <c r="AA38" s="176">
        <f t="shared" si="31"/>
        <v>5.2163761304217244</v>
      </c>
      <c r="AB38" s="169">
        <f t="shared" si="32"/>
        <v>15592.523498791503</v>
      </c>
      <c r="AC38" s="175">
        <f t="shared" si="33"/>
        <v>5.1562577707643857</v>
      </c>
      <c r="AD38" s="176">
        <f t="shared" si="34"/>
        <v>3.8200126084948884</v>
      </c>
      <c r="AE38" s="177"/>
      <c r="AF38" s="169"/>
      <c r="AG38" s="176"/>
      <c r="AH38" s="113"/>
      <c r="AI38" s="117"/>
    </row>
    <row r="39" spans="1:38" ht="18" customHeight="1" x14ac:dyDescent="0.25">
      <c r="A39" s="245" t="s">
        <v>80</v>
      </c>
      <c r="B39" s="162"/>
      <c r="C39" s="144">
        <v>24</v>
      </c>
      <c r="D39" s="163">
        <v>55</v>
      </c>
      <c r="E39" s="164">
        <f t="shared" si="2"/>
        <v>12.599789815610968</v>
      </c>
      <c r="F39" s="164">
        <v>3.5</v>
      </c>
      <c r="G39" s="164"/>
      <c r="H39" s="164"/>
      <c r="I39" s="166">
        <v>47.4</v>
      </c>
      <c r="J39" s="163">
        <f t="shared" si="21"/>
        <v>14.363636363636363</v>
      </c>
      <c r="K39" s="167">
        <v>450</v>
      </c>
      <c r="L39" s="168">
        <f t="shared" si="22"/>
        <v>535.37946428571422</v>
      </c>
      <c r="M39" s="169">
        <f t="shared" si="23"/>
        <v>7689.9959415584408</v>
      </c>
      <c r="N39" s="170"/>
      <c r="O39" s="171"/>
      <c r="P39" s="172">
        <f t="shared" si="24"/>
        <v>0</v>
      </c>
      <c r="Q39" s="168">
        <v>9</v>
      </c>
      <c r="R39" s="168">
        <f t="shared" si="25"/>
        <v>858.78787878787875</v>
      </c>
      <c r="S39" s="163">
        <v>20</v>
      </c>
      <c r="T39" s="168"/>
      <c r="U39" s="173"/>
      <c r="V39" s="178">
        <f t="shared" si="27"/>
        <v>315</v>
      </c>
      <c r="W39" s="169">
        <f t="shared" si="28"/>
        <v>3756.5442820292355</v>
      </c>
      <c r="X39" s="174"/>
      <c r="Y39" s="169">
        <f t="shared" si="29"/>
        <v>8548.7838203463198</v>
      </c>
      <c r="Z39" s="175">
        <f t="shared" si="30"/>
        <v>2.82697877656955</v>
      </c>
      <c r="AA39" s="176">
        <f t="shared" si="31"/>
        <v>5.0809141132167204</v>
      </c>
      <c r="AB39" s="169">
        <f t="shared" si="32"/>
        <v>12305.328102375555</v>
      </c>
      <c r="AC39" s="175">
        <f t="shared" si="33"/>
        <v>4.0692222560765723</v>
      </c>
      <c r="AD39" s="176">
        <f t="shared" si="34"/>
        <v>3.5298235042795061</v>
      </c>
      <c r="AE39" s="177"/>
      <c r="AF39" s="169"/>
      <c r="AG39" s="176"/>
      <c r="AH39" s="113"/>
      <c r="AI39" s="117"/>
    </row>
    <row r="40" spans="1:38" ht="18" customHeight="1" x14ac:dyDescent="0.25">
      <c r="A40" s="161" t="s">
        <v>81</v>
      </c>
      <c r="B40" s="162"/>
      <c r="C40" s="144">
        <v>24</v>
      </c>
      <c r="D40" s="163">
        <v>55</v>
      </c>
      <c r="E40" s="164">
        <f t="shared" si="2"/>
        <v>12.599789815610968</v>
      </c>
      <c r="F40" s="164">
        <v>3.5</v>
      </c>
      <c r="G40" s="164"/>
      <c r="H40" s="164"/>
      <c r="I40" s="166">
        <v>133.30000000000001</v>
      </c>
      <c r="J40" s="163">
        <f t="shared" si="21"/>
        <v>40.393939393939398</v>
      </c>
      <c r="K40" s="167">
        <v>450</v>
      </c>
      <c r="L40" s="168">
        <f t="shared" si="22"/>
        <v>535.37946428571422</v>
      </c>
      <c r="M40" s="169">
        <f t="shared" si="23"/>
        <v>21626.085633116883</v>
      </c>
      <c r="N40" s="170"/>
      <c r="O40" s="171"/>
      <c r="P40" s="172">
        <f t="shared" si="24"/>
        <v>0</v>
      </c>
      <c r="Q40" s="168">
        <v>20</v>
      </c>
      <c r="R40" s="168">
        <f t="shared" si="25"/>
        <v>1724.7979797979799</v>
      </c>
      <c r="S40" s="163">
        <v>21</v>
      </c>
      <c r="T40" s="168"/>
      <c r="U40" s="173"/>
      <c r="V40" s="178">
        <f t="shared" si="27"/>
        <v>700</v>
      </c>
      <c r="W40" s="169">
        <f t="shared" si="28"/>
        <v>8347.8761822871893</v>
      </c>
      <c r="X40" s="174"/>
      <c r="Y40" s="169">
        <f t="shared" si="29"/>
        <v>23350.883612914862</v>
      </c>
      <c r="Z40" s="175">
        <f t="shared" si="30"/>
        <v>7.72185304659883</v>
      </c>
      <c r="AA40" s="176">
        <f t="shared" si="31"/>
        <v>5.2311199332822484</v>
      </c>
      <c r="AB40" s="169">
        <f t="shared" si="32"/>
        <v>31698.759795202051</v>
      </c>
      <c r="AC40" s="175">
        <f t="shared" si="33"/>
        <v>10.48239411216999</v>
      </c>
      <c r="AD40" s="176">
        <f t="shared" si="34"/>
        <v>3.8535032132633043</v>
      </c>
      <c r="AE40" s="177"/>
      <c r="AF40" s="169"/>
      <c r="AG40" s="176"/>
      <c r="AH40" s="113"/>
      <c r="AI40" s="117"/>
      <c r="AJ40" s="13">
        <f>363.63*AC40</f>
        <v>3811.7129710083732</v>
      </c>
      <c r="AK40" s="54" t="s">
        <v>124</v>
      </c>
      <c r="AL40" s="244">
        <f>AJ40/360</f>
        <v>10.58809158613437</v>
      </c>
    </row>
    <row r="41" spans="1:38" ht="18" customHeight="1" x14ac:dyDescent="0.25">
      <c r="A41" s="161" t="s">
        <v>82</v>
      </c>
      <c r="B41" s="162"/>
      <c r="C41" s="144">
        <v>24</v>
      </c>
      <c r="D41" s="163">
        <v>55</v>
      </c>
      <c r="E41" s="164">
        <f t="shared" si="2"/>
        <v>12.599789815610968</v>
      </c>
      <c r="F41" s="164">
        <v>3.5</v>
      </c>
      <c r="G41" s="164"/>
      <c r="H41" s="164"/>
      <c r="I41" s="166">
        <v>14.15</v>
      </c>
      <c r="J41" s="163">
        <f t="shared" si="21"/>
        <v>4.2878787878787881</v>
      </c>
      <c r="K41" s="167">
        <v>450</v>
      </c>
      <c r="L41" s="168">
        <f t="shared" si="22"/>
        <v>535.37946428571422</v>
      </c>
      <c r="M41" s="169">
        <f t="shared" si="23"/>
        <v>2295.6422483766232</v>
      </c>
      <c r="N41" s="170"/>
      <c r="O41" s="171"/>
      <c r="P41" s="172">
        <f t="shared" si="24"/>
        <v>0</v>
      </c>
      <c r="Q41" s="168">
        <v>6</v>
      </c>
      <c r="R41" s="168">
        <f t="shared" si="25"/>
        <v>687.09595959595958</v>
      </c>
      <c r="S41" s="163">
        <v>22</v>
      </c>
      <c r="T41" s="168"/>
      <c r="U41" s="173"/>
      <c r="V41" s="178">
        <f t="shared" si="27"/>
        <v>210</v>
      </c>
      <c r="W41" s="169">
        <f t="shared" si="28"/>
        <v>2504.3628546861569</v>
      </c>
      <c r="X41" s="174"/>
      <c r="Y41" s="169">
        <f t="shared" si="29"/>
        <v>2982.738207972583</v>
      </c>
      <c r="Z41" s="175">
        <f t="shared" si="30"/>
        <v>0.98635522750416105</v>
      </c>
      <c r="AA41" s="176">
        <f t="shared" si="31"/>
        <v>4.3471952784481989</v>
      </c>
      <c r="AB41" s="169">
        <f t="shared" si="32"/>
        <v>5487.1010626587395</v>
      </c>
      <c r="AC41" s="175">
        <f t="shared" si="33"/>
        <v>1.8145175471755091</v>
      </c>
      <c r="AD41" s="176">
        <f t="shared" si="34"/>
        <v>2.3630957962094832</v>
      </c>
      <c r="AE41" s="177"/>
      <c r="AF41" s="169"/>
      <c r="AG41" s="176"/>
      <c r="AH41" s="113"/>
      <c r="AI41" s="117"/>
      <c r="AJ41" s="13">
        <f t="shared" ref="AJ41:AJ57" si="36">363.63*AC41</f>
        <v>659.81301567943035</v>
      </c>
      <c r="AK41" s="13">
        <v>850</v>
      </c>
      <c r="AL41" s="244">
        <f t="shared" ref="AL41:AL57" si="37">AJ41/360</f>
        <v>1.8328139324428621</v>
      </c>
    </row>
    <row r="42" spans="1:38" ht="18" customHeight="1" x14ac:dyDescent="0.25">
      <c r="A42" s="161" t="s">
        <v>83</v>
      </c>
      <c r="B42" s="162"/>
      <c r="C42" s="144">
        <v>24</v>
      </c>
      <c r="D42" s="163">
        <v>55</v>
      </c>
      <c r="E42" s="164">
        <f t="shared" si="2"/>
        <v>12.599789815610968</v>
      </c>
      <c r="F42" s="164">
        <v>3.5</v>
      </c>
      <c r="G42" s="164"/>
      <c r="H42" s="164"/>
      <c r="I42" s="166">
        <v>25.3</v>
      </c>
      <c r="J42" s="163">
        <f t="shared" si="21"/>
        <v>7.666666666666667</v>
      </c>
      <c r="K42" s="167">
        <v>450</v>
      </c>
      <c r="L42" s="168">
        <f t="shared" si="22"/>
        <v>535.37946428571422</v>
      </c>
      <c r="M42" s="169">
        <f t="shared" si="23"/>
        <v>4104.5758928571422</v>
      </c>
      <c r="N42" s="170"/>
      <c r="O42" s="171"/>
      <c r="P42" s="172">
        <f t="shared" si="24"/>
        <v>0</v>
      </c>
      <c r="Q42" s="168">
        <v>16</v>
      </c>
      <c r="R42" s="168">
        <f t="shared" si="25"/>
        <v>1913.8888888888887</v>
      </c>
      <c r="S42" s="163">
        <v>23</v>
      </c>
      <c r="T42" s="168"/>
      <c r="U42" s="173"/>
      <c r="V42" s="178">
        <f t="shared" si="27"/>
        <v>560</v>
      </c>
      <c r="W42" s="169">
        <f t="shared" si="28"/>
        <v>6678.300945829752</v>
      </c>
      <c r="X42" s="174"/>
      <c r="Y42" s="169">
        <f t="shared" si="29"/>
        <v>6018.4647817460309</v>
      </c>
      <c r="Z42" s="175">
        <f t="shared" si="30"/>
        <v>1.9902330627467033</v>
      </c>
      <c r="AA42" s="176">
        <f t="shared" si="31"/>
        <v>3.8521451633840145</v>
      </c>
      <c r="AB42" s="169">
        <f t="shared" si="32"/>
        <v>12696.765727575781</v>
      </c>
      <c r="AC42" s="175">
        <f t="shared" si="33"/>
        <v>4.1986659152036312</v>
      </c>
      <c r="AD42" s="176">
        <f t="shared" si="34"/>
        <v>1.8259768272834447</v>
      </c>
      <c r="AE42" s="177"/>
      <c r="AF42" s="169"/>
      <c r="AG42" s="176"/>
      <c r="AH42" s="113"/>
      <c r="AI42" s="117"/>
      <c r="AJ42" s="13">
        <f t="shared" si="36"/>
        <v>1526.7608867454965</v>
      </c>
      <c r="AK42" s="13">
        <v>1800</v>
      </c>
      <c r="AL42" s="244">
        <f t="shared" si="37"/>
        <v>4.2410024631819345</v>
      </c>
    </row>
    <row r="43" spans="1:38" ht="18" customHeight="1" x14ac:dyDescent="0.25">
      <c r="A43" s="161" t="s">
        <v>84</v>
      </c>
      <c r="B43" s="162"/>
      <c r="C43" s="144">
        <v>24</v>
      </c>
      <c r="D43" s="163">
        <v>55</v>
      </c>
      <c r="E43" s="164">
        <f t="shared" si="2"/>
        <v>12.599789815610968</v>
      </c>
      <c r="F43" s="164">
        <v>3.5</v>
      </c>
      <c r="G43" s="164"/>
      <c r="H43" s="164"/>
      <c r="I43" s="166">
        <v>13.4</v>
      </c>
      <c r="J43" s="163">
        <f t="shared" si="21"/>
        <v>4.0606060606060606</v>
      </c>
      <c r="K43" s="167">
        <v>450</v>
      </c>
      <c r="L43" s="168">
        <f t="shared" si="22"/>
        <v>535.37946428571422</v>
      </c>
      <c r="M43" s="169">
        <f t="shared" si="23"/>
        <v>2173.9650974025972</v>
      </c>
      <c r="N43" s="170"/>
      <c r="O43" s="171"/>
      <c r="P43" s="172">
        <f t="shared" si="24"/>
        <v>0</v>
      </c>
      <c r="Q43" s="168">
        <v>6</v>
      </c>
      <c r="R43" s="168">
        <f t="shared" si="25"/>
        <v>692.02020202020208</v>
      </c>
      <c r="S43" s="163">
        <v>24</v>
      </c>
      <c r="T43" s="168"/>
      <c r="U43" s="173"/>
      <c r="V43" s="178">
        <f t="shared" si="27"/>
        <v>210</v>
      </c>
      <c r="W43" s="169">
        <f t="shared" si="28"/>
        <v>2504.3628546861569</v>
      </c>
      <c r="X43" s="174"/>
      <c r="Y43" s="169">
        <f t="shared" si="29"/>
        <v>2865.9852994227995</v>
      </c>
      <c r="Z43" s="175">
        <f t="shared" si="30"/>
        <v>0.9477464614493385</v>
      </c>
      <c r="AA43" s="176">
        <f t="shared" si="31"/>
        <v>4.2844855937487658</v>
      </c>
      <c r="AB43" s="169">
        <f t="shared" si="32"/>
        <v>5370.3481541089559</v>
      </c>
      <c r="AC43" s="175">
        <f t="shared" si="33"/>
        <v>1.7759087811206864</v>
      </c>
      <c r="AD43" s="176">
        <f t="shared" si="34"/>
        <v>2.2864947252772843</v>
      </c>
      <c r="AE43" s="177"/>
      <c r="AF43" s="169"/>
      <c r="AG43" s="176"/>
      <c r="AH43" s="113"/>
      <c r="AI43" s="117"/>
      <c r="AJ43" s="13">
        <f t="shared" si="36"/>
        <v>645.7737100789152</v>
      </c>
      <c r="AK43" s="13">
        <v>850</v>
      </c>
      <c r="AL43" s="244">
        <f t="shared" si="37"/>
        <v>1.7938158613303199</v>
      </c>
    </row>
    <row r="44" spans="1:38" ht="18" customHeight="1" x14ac:dyDescent="0.25">
      <c r="A44" s="161" t="s">
        <v>85</v>
      </c>
      <c r="B44" s="162"/>
      <c r="C44" s="144">
        <v>24</v>
      </c>
      <c r="D44" s="163">
        <v>55</v>
      </c>
      <c r="E44" s="164">
        <f t="shared" si="2"/>
        <v>12.599789815610968</v>
      </c>
      <c r="F44" s="164">
        <v>3.5</v>
      </c>
      <c r="G44" s="164"/>
      <c r="H44" s="164"/>
      <c r="I44" s="166">
        <v>99</v>
      </c>
      <c r="J44" s="163">
        <f t="shared" si="21"/>
        <v>30</v>
      </c>
      <c r="K44" s="167">
        <v>450</v>
      </c>
      <c r="L44" s="168">
        <f t="shared" si="22"/>
        <v>535.37946428571422</v>
      </c>
      <c r="M44" s="169">
        <f t="shared" si="23"/>
        <v>16061.383928571428</v>
      </c>
      <c r="N44" s="170"/>
      <c r="O44" s="171"/>
      <c r="P44" s="172">
        <f t="shared" si="24"/>
        <v>0</v>
      </c>
      <c r="Q44" s="168">
        <v>16</v>
      </c>
      <c r="R44" s="168">
        <f t="shared" si="25"/>
        <v>1430</v>
      </c>
      <c r="S44" s="163">
        <v>25</v>
      </c>
      <c r="T44" s="168"/>
      <c r="U44" s="173"/>
      <c r="V44" s="178">
        <f t="shared" si="27"/>
        <v>560</v>
      </c>
      <c r="W44" s="169">
        <f t="shared" si="28"/>
        <v>6678.300945829752</v>
      </c>
      <c r="X44" s="174"/>
      <c r="Y44" s="169">
        <f t="shared" si="29"/>
        <v>17491.383928571428</v>
      </c>
      <c r="Z44" s="175">
        <f t="shared" si="30"/>
        <v>5.784187807067271</v>
      </c>
      <c r="AA44" s="176">
        <f t="shared" si="31"/>
        <v>5.1865535837797694</v>
      </c>
      <c r="AB44" s="169">
        <f t="shared" si="32"/>
        <v>24169.68487440118</v>
      </c>
      <c r="AC44" s="175">
        <f t="shared" si="33"/>
        <v>7.9926206595242002</v>
      </c>
      <c r="AD44" s="176">
        <f t="shared" si="34"/>
        <v>3.7534622594969864</v>
      </c>
      <c r="AE44" s="177"/>
      <c r="AF44" s="169"/>
      <c r="AG44" s="176"/>
      <c r="AH44" s="113"/>
      <c r="AI44" s="117"/>
      <c r="AJ44" s="13">
        <f t="shared" si="36"/>
        <v>2906.3566504227847</v>
      </c>
      <c r="AK44" s="13">
        <v>3450</v>
      </c>
      <c r="AL44" s="244">
        <f t="shared" si="37"/>
        <v>8.0732129178410688</v>
      </c>
    </row>
    <row r="45" spans="1:38" ht="18" customHeight="1" x14ac:dyDescent="0.25">
      <c r="A45" s="161" t="s">
        <v>86</v>
      </c>
      <c r="B45" s="162"/>
      <c r="C45" s="144">
        <v>24</v>
      </c>
      <c r="D45" s="163">
        <v>55</v>
      </c>
      <c r="E45" s="164">
        <f t="shared" si="2"/>
        <v>12.599789815610968</v>
      </c>
      <c r="F45" s="164">
        <v>3.5</v>
      </c>
      <c r="G45" s="164"/>
      <c r="H45" s="164"/>
      <c r="I45" s="166">
        <v>14.9</v>
      </c>
      <c r="J45" s="163">
        <f t="shared" si="21"/>
        <v>4.5151515151515156</v>
      </c>
      <c r="K45" s="167">
        <v>450</v>
      </c>
      <c r="L45" s="168">
        <f t="shared" si="22"/>
        <v>535.37946428571422</v>
      </c>
      <c r="M45" s="169">
        <f t="shared" si="23"/>
        <v>2417.3193993506493</v>
      </c>
      <c r="N45" s="170"/>
      <c r="O45" s="171"/>
      <c r="P45" s="172">
        <f t="shared" si="24"/>
        <v>0</v>
      </c>
      <c r="Q45" s="168">
        <v>3</v>
      </c>
      <c r="R45" s="168">
        <f t="shared" si="25"/>
        <v>292.17171717171715</v>
      </c>
      <c r="S45" s="163">
        <v>26</v>
      </c>
      <c r="T45" s="168"/>
      <c r="U45" s="173"/>
      <c r="V45" s="178">
        <f t="shared" si="27"/>
        <v>105</v>
      </c>
      <c r="W45" s="169">
        <f t="shared" si="28"/>
        <v>1252.1814273430784</v>
      </c>
      <c r="X45" s="174"/>
      <c r="Y45" s="169">
        <f t="shared" si="29"/>
        <v>2709.4911165223666</v>
      </c>
      <c r="Z45" s="175">
        <f t="shared" si="30"/>
        <v>0.89599573959072965</v>
      </c>
      <c r="AA45" s="176">
        <f t="shared" si="31"/>
        <v>5.0392555629940086</v>
      </c>
      <c r="AB45" s="169">
        <f t="shared" si="32"/>
        <v>3961.6725438654448</v>
      </c>
      <c r="AC45" s="175">
        <f t="shared" si="33"/>
        <v>1.3100768994264038</v>
      </c>
      <c r="AD45" s="176">
        <f t="shared" si="34"/>
        <v>3.4464782312613882</v>
      </c>
      <c r="AE45" s="177"/>
      <c r="AF45" s="169"/>
      <c r="AG45" s="176"/>
      <c r="AH45" s="113"/>
      <c r="AI45" s="117"/>
      <c r="AJ45" s="13">
        <f t="shared" si="36"/>
        <v>476.38326293842323</v>
      </c>
      <c r="AK45" s="13">
        <v>550</v>
      </c>
      <c r="AL45" s="244">
        <f t="shared" si="37"/>
        <v>1.32328684149562</v>
      </c>
    </row>
    <row r="46" spans="1:38" ht="18" customHeight="1" x14ac:dyDescent="0.25">
      <c r="A46" s="161" t="s">
        <v>87</v>
      </c>
      <c r="B46" s="162"/>
      <c r="C46" s="144">
        <v>24</v>
      </c>
      <c r="D46" s="163">
        <v>55</v>
      </c>
      <c r="E46" s="164">
        <f t="shared" si="2"/>
        <v>12.599789815610968</v>
      </c>
      <c r="F46" s="164">
        <v>3.5</v>
      </c>
      <c r="G46" s="164"/>
      <c r="H46" s="164"/>
      <c r="I46" s="166">
        <v>14.9</v>
      </c>
      <c r="J46" s="163">
        <f t="shared" si="21"/>
        <v>4.5151515151515156</v>
      </c>
      <c r="K46" s="167">
        <v>450</v>
      </c>
      <c r="L46" s="168">
        <f t="shared" si="22"/>
        <v>535.37946428571422</v>
      </c>
      <c r="M46" s="169">
        <f t="shared" si="23"/>
        <v>2417.3193993506493</v>
      </c>
      <c r="N46" s="170"/>
      <c r="O46" s="171"/>
      <c r="P46" s="172">
        <f t="shared" si="24"/>
        <v>0</v>
      </c>
      <c r="Q46" s="168">
        <v>3</v>
      </c>
      <c r="R46" s="168">
        <f t="shared" si="25"/>
        <v>292.17171717171715</v>
      </c>
      <c r="S46" s="163">
        <v>27</v>
      </c>
      <c r="T46" s="168"/>
      <c r="U46" s="173"/>
      <c r="V46" s="178">
        <f t="shared" si="27"/>
        <v>105</v>
      </c>
      <c r="W46" s="169">
        <f t="shared" si="28"/>
        <v>1252.1814273430784</v>
      </c>
      <c r="X46" s="174"/>
      <c r="Y46" s="169">
        <f t="shared" si="29"/>
        <v>2709.4911165223666</v>
      </c>
      <c r="Z46" s="175">
        <f t="shared" si="30"/>
        <v>0.89599573959072965</v>
      </c>
      <c r="AA46" s="176">
        <f t="shared" si="31"/>
        <v>5.0392555629940086</v>
      </c>
      <c r="AB46" s="169">
        <f t="shared" si="32"/>
        <v>3961.6725438654448</v>
      </c>
      <c r="AC46" s="175">
        <f t="shared" si="33"/>
        <v>1.3100768994264038</v>
      </c>
      <c r="AD46" s="176">
        <f t="shared" si="34"/>
        <v>3.4464782312613882</v>
      </c>
      <c r="AE46" s="177"/>
      <c r="AF46" s="169"/>
      <c r="AG46" s="176"/>
      <c r="AH46" s="113"/>
      <c r="AI46" s="117"/>
      <c r="AJ46" s="13">
        <f t="shared" si="36"/>
        <v>476.38326293842323</v>
      </c>
      <c r="AK46" s="13">
        <v>550</v>
      </c>
      <c r="AL46" s="244">
        <f t="shared" si="37"/>
        <v>1.32328684149562</v>
      </c>
    </row>
    <row r="47" spans="1:38" ht="18" customHeight="1" x14ac:dyDescent="0.25">
      <c r="A47" s="161" t="s">
        <v>88</v>
      </c>
      <c r="B47" s="162"/>
      <c r="C47" s="144">
        <v>24</v>
      </c>
      <c r="D47" s="163">
        <v>55</v>
      </c>
      <c r="E47" s="164">
        <f t="shared" si="2"/>
        <v>12.599789815610968</v>
      </c>
      <c r="F47" s="164">
        <v>3.5</v>
      </c>
      <c r="G47" s="164"/>
      <c r="H47" s="164"/>
      <c r="I47" s="166">
        <v>14.9</v>
      </c>
      <c r="J47" s="163">
        <f t="shared" si="21"/>
        <v>4.5151515151515156</v>
      </c>
      <c r="K47" s="167">
        <v>450</v>
      </c>
      <c r="L47" s="168">
        <f t="shared" si="22"/>
        <v>535.37946428571422</v>
      </c>
      <c r="M47" s="169">
        <f t="shared" si="23"/>
        <v>2417.3193993506493</v>
      </c>
      <c r="N47" s="170"/>
      <c r="O47" s="171"/>
      <c r="P47" s="172">
        <f t="shared" si="24"/>
        <v>0</v>
      </c>
      <c r="Q47" s="168">
        <v>3</v>
      </c>
      <c r="R47" s="168">
        <f t="shared" si="25"/>
        <v>292.17171717171715</v>
      </c>
      <c r="S47" s="163">
        <v>28</v>
      </c>
      <c r="T47" s="168"/>
      <c r="U47" s="173"/>
      <c r="V47" s="178">
        <f t="shared" si="27"/>
        <v>105</v>
      </c>
      <c r="W47" s="169">
        <f t="shared" si="28"/>
        <v>1252.1814273430784</v>
      </c>
      <c r="X47" s="174"/>
      <c r="Y47" s="169">
        <f t="shared" si="29"/>
        <v>2709.4911165223666</v>
      </c>
      <c r="Z47" s="175">
        <f t="shared" si="30"/>
        <v>0.89599573959072965</v>
      </c>
      <c r="AA47" s="176">
        <f t="shared" si="31"/>
        <v>5.0392555629940086</v>
      </c>
      <c r="AB47" s="169">
        <f t="shared" si="32"/>
        <v>3961.6725438654448</v>
      </c>
      <c r="AC47" s="175">
        <f t="shared" si="33"/>
        <v>1.3100768994264038</v>
      </c>
      <c r="AD47" s="176">
        <f t="shared" si="34"/>
        <v>3.4464782312613882</v>
      </c>
      <c r="AE47" s="177"/>
      <c r="AF47" s="169"/>
      <c r="AG47" s="176"/>
      <c r="AH47" s="113"/>
      <c r="AI47" s="117"/>
      <c r="AJ47" s="13">
        <f t="shared" si="36"/>
        <v>476.38326293842323</v>
      </c>
      <c r="AK47" s="13">
        <v>550</v>
      </c>
      <c r="AL47" s="244">
        <f t="shared" si="37"/>
        <v>1.32328684149562</v>
      </c>
    </row>
    <row r="48" spans="1:38" ht="18" customHeight="1" x14ac:dyDescent="0.25">
      <c r="A48" s="161" t="s">
        <v>89</v>
      </c>
      <c r="B48" s="162"/>
      <c r="C48" s="144">
        <v>24</v>
      </c>
      <c r="D48" s="163">
        <v>55</v>
      </c>
      <c r="E48" s="164">
        <f t="shared" si="2"/>
        <v>12.599789815610968</v>
      </c>
      <c r="F48" s="164">
        <v>3.5</v>
      </c>
      <c r="G48" s="164"/>
      <c r="H48" s="164"/>
      <c r="I48" s="166">
        <v>33.450000000000003</v>
      </c>
      <c r="J48" s="163">
        <f t="shared" si="21"/>
        <v>10.136363636363638</v>
      </c>
      <c r="K48" s="167">
        <v>450</v>
      </c>
      <c r="L48" s="168">
        <f t="shared" si="22"/>
        <v>535.37946428571422</v>
      </c>
      <c r="M48" s="169">
        <f t="shared" si="23"/>
        <v>5426.8009334415592</v>
      </c>
      <c r="N48" s="170"/>
      <c r="O48" s="171"/>
      <c r="P48" s="172">
        <f t="shared" si="24"/>
        <v>0</v>
      </c>
      <c r="Q48" s="168">
        <v>20</v>
      </c>
      <c r="R48" s="168">
        <f t="shared" si="25"/>
        <v>2380.3787878787875</v>
      </c>
      <c r="S48" s="163">
        <v>29</v>
      </c>
      <c r="T48" s="168"/>
      <c r="U48" s="173"/>
      <c r="V48" s="178">
        <f t="shared" si="27"/>
        <v>700</v>
      </c>
      <c r="W48" s="169">
        <f t="shared" si="28"/>
        <v>8347.8761822871893</v>
      </c>
      <c r="X48" s="174"/>
      <c r="Y48" s="169">
        <f t="shared" si="29"/>
        <v>7807.1797213203463</v>
      </c>
      <c r="Z48" s="175">
        <f t="shared" si="30"/>
        <v>2.581739325833448</v>
      </c>
      <c r="AA48" s="176">
        <f t="shared" si="31"/>
        <v>3.9261762544874181</v>
      </c>
      <c r="AB48" s="169">
        <f t="shared" si="32"/>
        <v>16155.055903607536</v>
      </c>
      <c r="AC48" s="175">
        <f t="shared" si="33"/>
        <v>5.342280391404608</v>
      </c>
      <c r="AD48" s="176">
        <f t="shared" si="34"/>
        <v>1.8973851789345253</v>
      </c>
      <c r="AE48" s="177"/>
      <c r="AF48" s="169"/>
      <c r="AG48" s="176"/>
      <c r="AH48" s="113"/>
      <c r="AI48" s="117"/>
      <c r="AJ48" s="13">
        <f t="shared" si="36"/>
        <v>1942.6134187264577</v>
      </c>
      <c r="AK48" s="13">
        <v>2300</v>
      </c>
      <c r="AL48" s="244">
        <f t="shared" si="37"/>
        <v>5.3961483853512711</v>
      </c>
    </row>
    <row r="49" spans="1:38" ht="18" customHeight="1" x14ac:dyDescent="0.25">
      <c r="A49" s="161" t="s">
        <v>90</v>
      </c>
      <c r="B49" s="162"/>
      <c r="C49" s="144">
        <v>24</v>
      </c>
      <c r="D49" s="163">
        <v>55</v>
      </c>
      <c r="E49" s="164">
        <f t="shared" si="2"/>
        <v>12.599789815610968</v>
      </c>
      <c r="F49" s="164">
        <v>3.5</v>
      </c>
      <c r="G49" s="164"/>
      <c r="H49" s="164"/>
      <c r="I49" s="166">
        <v>14.9</v>
      </c>
      <c r="J49" s="163">
        <f t="shared" si="21"/>
        <v>4.5151515151515156</v>
      </c>
      <c r="K49" s="167">
        <v>450</v>
      </c>
      <c r="L49" s="168">
        <f t="shared" si="22"/>
        <v>535.37946428571422</v>
      </c>
      <c r="M49" s="169">
        <f t="shared" si="23"/>
        <v>2417.3193993506493</v>
      </c>
      <c r="N49" s="170"/>
      <c r="O49" s="171"/>
      <c r="P49" s="172">
        <f t="shared" si="24"/>
        <v>0</v>
      </c>
      <c r="Q49" s="168">
        <v>3</v>
      </c>
      <c r="R49" s="168">
        <f t="shared" si="25"/>
        <v>292.17171717171715</v>
      </c>
      <c r="S49" s="163">
        <v>30</v>
      </c>
      <c r="T49" s="168"/>
      <c r="U49" s="173"/>
      <c r="V49" s="178">
        <f t="shared" si="27"/>
        <v>105</v>
      </c>
      <c r="W49" s="169">
        <f t="shared" si="28"/>
        <v>1252.1814273430784</v>
      </c>
      <c r="X49" s="174"/>
      <c r="Y49" s="169">
        <f t="shared" si="29"/>
        <v>2709.4911165223666</v>
      </c>
      <c r="Z49" s="175">
        <f t="shared" si="30"/>
        <v>0.89599573959072965</v>
      </c>
      <c r="AA49" s="176">
        <f t="shared" si="31"/>
        <v>5.0392555629940086</v>
      </c>
      <c r="AB49" s="169">
        <f t="shared" si="32"/>
        <v>3961.6725438654448</v>
      </c>
      <c r="AC49" s="175">
        <f t="shared" si="33"/>
        <v>1.3100768994264038</v>
      </c>
      <c r="AD49" s="176">
        <f t="shared" si="34"/>
        <v>3.4464782312613882</v>
      </c>
      <c r="AE49" s="177"/>
      <c r="AF49" s="169"/>
      <c r="AG49" s="176"/>
      <c r="AH49" s="113"/>
      <c r="AI49" s="117"/>
      <c r="AJ49" s="13">
        <f t="shared" si="36"/>
        <v>476.38326293842323</v>
      </c>
      <c r="AK49" s="13">
        <v>550</v>
      </c>
      <c r="AL49" s="244">
        <f t="shared" si="37"/>
        <v>1.32328684149562</v>
      </c>
    </row>
    <row r="50" spans="1:38" ht="18" customHeight="1" x14ac:dyDescent="0.25">
      <c r="A50" s="161" t="s">
        <v>91</v>
      </c>
      <c r="B50" s="162"/>
      <c r="C50" s="144">
        <v>24</v>
      </c>
      <c r="D50" s="163">
        <v>55</v>
      </c>
      <c r="E50" s="164">
        <f t="shared" si="2"/>
        <v>12.599789815610968</v>
      </c>
      <c r="F50" s="164">
        <v>3.5</v>
      </c>
      <c r="G50" s="164"/>
      <c r="H50" s="164"/>
      <c r="I50" s="166">
        <v>14.9</v>
      </c>
      <c r="J50" s="163">
        <f t="shared" si="21"/>
        <v>4.5151515151515156</v>
      </c>
      <c r="K50" s="167">
        <v>450</v>
      </c>
      <c r="L50" s="168">
        <f t="shared" si="22"/>
        <v>535.37946428571422</v>
      </c>
      <c r="M50" s="169">
        <f t="shared" si="23"/>
        <v>2417.3193993506493</v>
      </c>
      <c r="N50" s="170"/>
      <c r="O50" s="171"/>
      <c r="P50" s="172">
        <f t="shared" si="24"/>
        <v>0</v>
      </c>
      <c r="Q50" s="168">
        <v>3</v>
      </c>
      <c r="R50" s="168">
        <f t="shared" si="25"/>
        <v>292.17171717171715</v>
      </c>
      <c r="S50" s="163">
        <v>31</v>
      </c>
      <c r="T50" s="168"/>
      <c r="U50" s="173"/>
      <c r="V50" s="178">
        <f t="shared" si="27"/>
        <v>105</v>
      </c>
      <c r="W50" s="169">
        <f t="shared" si="28"/>
        <v>1252.1814273430784</v>
      </c>
      <c r="X50" s="174"/>
      <c r="Y50" s="169">
        <f t="shared" si="29"/>
        <v>2709.4911165223666</v>
      </c>
      <c r="Z50" s="175">
        <f t="shared" si="30"/>
        <v>0.89599573959072965</v>
      </c>
      <c r="AA50" s="176">
        <f t="shared" si="31"/>
        <v>5.0392555629940086</v>
      </c>
      <c r="AB50" s="169">
        <f t="shared" si="32"/>
        <v>3961.6725438654448</v>
      </c>
      <c r="AC50" s="175">
        <f t="shared" si="33"/>
        <v>1.3100768994264038</v>
      </c>
      <c r="AD50" s="176">
        <f t="shared" si="34"/>
        <v>3.4464782312613882</v>
      </c>
      <c r="AE50" s="177"/>
      <c r="AF50" s="169"/>
      <c r="AG50" s="176"/>
      <c r="AH50" s="113"/>
      <c r="AI50" s="117"/>
      <c r="AJ50" s="13">
        <f t="shared" si="36"/>
        <v>476.38326293842323</v>
      </c>
      <c r="AK50" s="13">
        <v>550</v>
      </c>
      <c r="AL50" s="244">
        <f t="shared" si="37"/>
        <v>1.32328684149562</v>
      </c>
    </row>
    <row r="51" spans="1:38" ht="18" customHeight="1" x14ac:dyDescent="0.25">
      <c r="A51" s="161" t="s">
        <v>92</v>
      </c>
      <c r="B51" s="162"/>
      <c r="C51" s="144">
        <v>24</v>
      </c>
      <c r="D51" s="163">
        <v>55</v>
      </c>
      <c r="E51" s="164">
        <f t="shared" si="2"/>
        <v>12.599789815610968</v>
      </c>
      <c r="F51" s="164">
        <v>3.5</v>
      </c>
      <c r="G51" s="164"/>
      <c r="H51" s="164"/>
      <c r="I51" s="166">
        <v>14.9</v>
      </c>
      <c r="J51" s="163">
        <f t="shared" si="21"/>
        <v>4.5151515151515156</v>
      </c>
      <c r="K51" s="167">
        <v>450</v>
      </c>
      <c r="L51" s="168">
        <f t="shared" si="22"/>
        <v>535.37946428571422</v>
      </c>
      <c r="M51" s="169">
        <f t="shared" si="23"/>
        <v>2417.3193993506493</v>
      </c>
      <c r="N51" s="170"/>
      <c r="O51" s="171"/>
      <c r="P51" s="172">
        <f t="shared" si="24"/>
        <v>0</v>
      </c>
      <c r="Q51" s="168">
        <v>3</v>
      </c>
      <c r="R51" s="168">
        <f t="shared" si="25"/>
        <v>292.17171717171715</v>
      </c>
      <c r="S51" s="163">
        <v>32</v>
      </c>
      <c r="T51" s="168"/>
      <c r="U51" s="173"/>
      <c r="V51" s="178">
        <f t="shared" si="27"/>
        <v>105</v>
      </c>
      <c r="W51" s="169">
        <f t="shared" si="28"/>
        <v>1252.1814273430784</v>
      </c>
      <c r="X51" s="174"/>
      <c r="Y51" s="169">
        <f t="shared" si="29"/>
        <v>2709.4911165223666</v>
      </c>
      <c r="Z51" s="175">
        <f t="shared" si="30"/>
        <v>0.89599573959072965</v>
      </c>
      <c r="AA51" s="176">
        <f t="shared" si="31"/>
        <v>5.0392555629940086</v>
      </c>
      <c r="AB51" s="169">
        <f t="shared" si="32"/>
        <v>3961.6725438654448</v>
      </c>
      <c r="AC51" s="175">
        <f t="shared" si="33"/>
        <v>1.3100768994264038</v>
      </c>
      <c r="AD51" s="176">
        <f t="shared" si="34"/>
        <v>3.4464782312613882</v>
      </c>
      <c r="AE51" s="177"/>
      <c r="AF51" s="169"/>
      <c r="AG51" s="176"/>
      <c r="AH51" s="113"/>
      <c r="AI51" s="117"/>
      <c r="AJ51" s="13">
        <f t="shared" si="36"/>
        <v>476.38326293842323</v>
      </c>
      <c r="AK51" s="13">
        <v>550</v>
      </c>
      <c r="AL51" s="244">
        <f t="shared" si="37"/>
        <v>1.32328684149562</v>
      </c>
    </row>
    <row r="52" spans="1:38" ht="18" customHeight="1" x14ac:dyDescent="0.25">
      <c r="A52" s="161" t="s">
        <v>93</v>
      </c>
      <c r="B52" s="162"/>
      <c r="C52" s="144">
        <v>24</v>
      </c>
      <c r="D52" s="163">
        <v>55</v>
      </c>
      <c r="E52" s="164">
        <f t="shared" si="2"/>
        <v>12.599789815610968</v>
      </c>
      <c r="F52" s="164">
        <v>3.5</v>
      </c>
      <c r="G52" s="164"/>
      <c r="H52" s="164"/>
      <c r="I52" s="166">
        <v>89.4</v>
      </c>
      <c r="J52" s="163">
        <f t="shared" si="21"/>
        <v>27.090909090909093</v>
      </c>
      <c r="K52" s="167">
        <v>450</v>
      </c>
      <c r="L52" s="168">
        <f t="shared" si="22"/>
        <v>535.37946428571422</v>
      </c>
      <c r="M52" s="169">
        <f t="shared" si="23"/>
        <v>14503.916396103896</v>
      </c>
      <c r="N52" s="170"/>
      <c r="O52" s="171"/>
      <c r="P52" s="172">
        <f t="shared" si="24"/>
        <v>0</v>
      </c>
      <c r="Q52" s="168">
        <v>20</v>
      </c>
      <c r="R52" s="168">
        <f t="shared" si="25"/>
        <v>2013.030303030303</v>
      </c>
      <c r="S52" s="163">
        <v>33</v>
      </c>
      <c r="T52" s="168"/>
      <c r="U52" s="173"/>
      <c r="V52" s="178">
        <f t="shared" si="27"/>
        <v>700</v>
      </c>
      <c r="W52" s="169">
        <f t="shared" si="28"/>
        <v>8347.8761822871893</v>
      </c>
      <c r="X52" s="174"/>
      <c r="Y52" s="169">
        <f t="shared" si="29"/>
        <v>16516.946699134198</v>
      </c>
      <c r="Z52" s="175">
        <f t="shared" si="30"/>
        <v>5.4619532735232132</v>
      </c>
      <c r="AA52" s="176">
        <f t="shared" si="31"/>
        <v>4.9599305842164778</v>
      </c>
      <c r="AB52" s="169">
        <f t="shared" si="32"/>
        <v>24864.822881421387</v>
      </c>
      <c r="AC52" s="175">
        <f t="shared" si="33"/>
        <v>8.2224943390943732</v>
      </c>
      <c r="AD52" s="176">
        <f t="shared" si="34"/>
        <v>3.2947312547366119</v>
      </c>
      <c r="AE52" s="177"/>
      <c r="AF52" s="169"/>
      <c r="AG52" s="176"/>
      <c r="AH52" s="113"/>
      <c r="AI52" s="117"/>
      <c r="AJ52" s="13">
        <f t="shared" si="36"/>
        <v>2989.9456165248871</v>
      </c>
      <c r="AK52" s="54">
        <v>3450</v>
      </c>
      <c r="AL52" s="244">
        <f t="shared" si="37"/>
        <v>8.3054044903469091</v>
      </c>
    </row>
    <row r="53" spans="1:38" ht="18" customHeight="1" x14ac:dyDescent="0.25">
      <c r="A53" s="161" t="s">
        <v>94</v>
      </c>
      <c r="B53" s="162"/>
      <c r="C53" s="144">
        <v>24</v>
      </c>
      <c r="D53" s="163">
        <v>55</v>
      </c>
      <c r="E53" s="164">
        <f t="shared" si="2"/>
        <v>12.599789815610968</v>
      </c>
      <c r="F53" s="164">
        <v>3.5</v>
      </c>
      <c r="G53" s="164"/>
      <c r="H53" s="164"/>
      <c r="I53" s="166">
        <v>64</v>
      </c>
      <c r="J53" s="163">
        <f t="shared" si="21"/>
        <v>19.393939393939394</v>
      </c>
      <c r="K53" s="167">
        <v>450</v>
      </c>
      <c r="L53" s="168">
        <f t="shared" si="22"/>
        <v>535.37946428571422</v>
      </c>
      <c r="M53" s="169">
        <f t="shared" si="23"/>
        <v>10383.116883116882</v>
      </c>
      <c r="N53" s="170"/>
      <c r="O53" s="171"/>
      <c r="P53" s="172">
        <f t="shared" si="24"/>
        <v>0</v>
      </c>
      <c r="Q53" s="168">
        <v>7</v>
      </c>
      <c r="R53" s="168">
        <f t="shared" si="25"/>
        <v>489.79797979797979</v>
      </c>
      <c r="S53" s="163">
        <v>34</v>
      </c>
      <c r="T53" s="168"/>
      <c r="U53" s="173"/>
      <c r="V53" s="178">
        <f t="shared" si="27"/>
        <v>245</v>
      </c>
      <c r="W53" s="169">
        <f t="shared" si="28"/>
        <v>2921.7566638005164</v>
      </c>
      <c r="X53" s="174"/>
      <c r="Y53" s="169">
        <f t="shared" si="29"/>
        <v>10872.914862914862</v>
      </c>
      <c r="Z53" s="175">
        <f t="shared" si="30"/>
        <v>3.5955406292707877</v>
      </c>
      <c r="AA53" s="176">
        <f t="shared" si="31"/>
        <v>5.3938868708800225</v>
      </c>
      <c r="AB53" s="169">
        <f t="shared" si="32"/>
        <v>13794.671526715378</v>
      </c>
      <c r="AC53" s="175">
        <f t="shared" si="33"/>
        <v>4.5617300022206937</v>
      </c>
      <c r="AD53" s="176">
        <f t="shared" si="34"/>
        <v>4.2514439444022862</v>
      </c>
      <c r="AE53" s="177"/>
      <c r="AF53" s="169"/>
      <c r="AG53" s="176"/>
      <c r="AH53" s="113"/>
      <c r="AI53" s="117"/>
      <c r="AJ53" s="13">
        <f t="shared" si="36"/>
        <v>1658.7818807075109</v>
      </c>
      <c r="AK53" s="13">
        <v>1800</v>
      </c>
      <c r="AL53" s="244">
        <f t="shared" si="37"/>
        <v>4.6077274464097524</v>
      </c>
    </row>
    <row r="54" spans="1:38" ht="18" customHeight="1" x14ac:dyDescent="0.25">
      <c r="A54" s="161" t="s">
        <v>95</v>
      </c>
      <c r="B54" s="162"/>
      <c r="C54" s="144">
        <v>24</v>
      </c>
      <c r="D54" s="163">
        <v>55</v>
      </c>
      <c r="E54" s="164">
        <f t="shared" si="2"/>
        <v>12.599789815610968</v>
      </c>
      <c r="F54" s="164">
        <v>3.5</v>
      </c>
      <c r="G54" s="164"/>
      <c r="H54" s="164"/>
      <c r="I54" s="166">
        <v>64</v>
      </c>
      <c r="J54" s="163">
        <f t="shared" si="21"/>
        <v>19.393939393939394</v>
      </c>
      <c r="K54" s="167">
        <v>450</v>
      </c>
      <c r="L54" s="168">
        <f t="shared" si="22"/>
        <v>535.37946428571422</v>
      </c>
      <c r="M54" s="169">
        <f t="shared" si="23"/>
        <v>10383.116883116882</v>
      </c>
      <c r="N54" s="170"/>
      <c r="O54" s="171"/>
      <c r="P54" s="172">
        <f t="shared" si="24"/>
        <v>0</v>
      </c>
      <c r="Q54" s="168">
        <v>4</v>
      </c>
      <c r="R54" s="168">
        <f t="shared" si="25"/>
        <v>99.797979797979806</v>
      </c>
      <c r="S54" s="163">
        <v>35</v>
      </c>
      <c r="T54" s="168"/>
      <c r="U54" s="173"/>
      <c r="V54" s="178">
        <f t="shared" si="27"/>
        <v>140</v>
      </c>
      <c r="W54" s="169">
        <f t="shared" si="28"/>
        <v>1669.575236457438</v>
      </c>
      <c r="X54" s="174"/>
      <c r="Y54" s="169">
        <f t="shared" si="29"/>
        <v>10482.914862914862</v>
      </c>
      <c r="Z54" s="175">
        <f t="shared" si="30"/>
        <v>3.4665723753025337</v>
      </c>
      <c r="AA54" s="176">
        <f t="shared" si="31"/>
        <v>5.5945577631988286</v>
      </c>
      <c r="AB54" s="169">
        <f t="shared" si="32"/>
        <v>12152.490099372299</v>
      </c>
      <c r="AC54" s="175">
        <f t="shared" si="33"/>
        <v>4.0186805884167658</v>
      </c>
      <c r="AD54" s="176">
        <f t="shared" si="34"/>
        <v>4.8259469662355023</v>
      </c>
      <c r="AE54" s="177"/>
      <c r="AF54" s="169"/>
      <c r="AG54" s="176"/>
      <c r="AH54" s="113"/>
      <c r="AI54" s="117"/>
      <c r="AJ54" s="13">
        <f t="shared" si="36"/>
        <v>1461.3128223659885</v>
      </c>
      <c r="AK54" s="13">
        <v>1450</v>
      </c>
      <c r="AL54" s="244">
        <f t="shared" si="37"/>
        <v>4.0592022843499684</v>
      </c>
    </row>
    <row r="55" spans="1:38" s="242" customFormat="1" ht="42.75" x14ac:dyDescent="0.15">
      <c r="A55" s="237" t="s">
        <v>119</v>
      </c>
      <c r="B55" s="238"/>
      <c r="C55" s="224">
        <v>24</v>
      </c>
      <c r="D55" s="208">
        <v>55</v>
      </c>
      <c r="E55" s="204">
        <f t="shared" si="2"/>
        <v>12.599789815610968</v>
      </c>
      <c r="F55" s="204">
        <v>3.5</v>
      </c>
      <c r="G55" s="204"/>
      <c r="H55" s="204"/>
      <c r="I55" s="225">
        <v>64</v>
      </c>
      <c r="J55" s="208">
        <f t="shared" si="21"/>
        <v>19.393939393939394</v>
      </c>
      <c r="K55" s="226">
        <v>450</v>
      </c>
      <c r="L55" s="209">
        <f t="shared" si="22"/>
        <v>535.37946428571422</v>
      </c>
      <c r="M55" s="227">
        <f t="shared" si="23"/>
        <v>10383.116883116882</v>
      </c>
      <c r="N55" s="205"/>
      <c r="O55" s="206"/>
      <c r="P55" s="207">
        <f t="shared" si="24"/>
        <v>0</v>
      </c>
      <c r="Q55" s="209">
        <f>9+2+3</f>
        <v>14</v>
      </c>
      <c r="R55" s="209">
        <f t="shared" si="25"/>
        <v>1399.7979797979799</v>
      </c>
      <c r="S55" s="208">
        <v>36</v>
      </c>
      <c r="T55" s="209"/>
      <c r="U55" s="228"/>
      <c r="V55" s="229">
        <f t="shared" si="27"/>
        <v>490</v>
      </c>
      <c r="W55" s="227">
        <f t="shared" si="28"/>
        <v>5843.5133276010329</v>
      </c>
      <c r="X55" s="230"/>
      <c r="Y55" s="227">
        <f t="shared" si="29"/>
        <v>11782.914862914862</v>
      </c>
      <c r="Z55" s="231">
        <f t="shared" si="30"/>
        <v>3.8964665551967137</v>
      </c>
      <c r="AA55" s="232">
        <f t="shared" si="31"/>
        <v>4.9773144769005437</v>
      </c>
      <c r="AB55" s="227">
        <f t="shared" si="32"/>
        <v>17626.428190515893</v>
      </c>
      <c r="AC55" s="231">
        <f t="shared" si="33"/>
        <v>5.8288453010965258</v>
      </c>
      <c r="AD55" s="232">
        <f t="shared" si="34"/>
        <v>3.3272352227792004</v>
      </c>
      <c r="AE55" s="239"/>
      <c r="AF55" s="227"/>
      <c r="AG55" s="232"/>
      <c r="AH55" s="240"/>
      <c r="AI55" s="241"/>
      <c r="AJ55" s="13">
        <f t="shared" si="36"/>
        <v>2119.5430168377297</v>
      </c>
      <c r="AK55" s="242">
        <v>2300</v>
      </c>
      <c r="AL55" s="244">
        <f t="shared" si="37"/>
        <v>5.8876194912159159</v>
      </c>
    </row>
    <row r="56" spans="1:38" ht="18" customHeight="1" x14ac:dyDescent="0.25">
      <c r="A56" s="161" t="s">
        <v>118</v>
      </c>
      <c r="B56" s="162"/>
      <c r="C56" s="144">
        <v>24</v>
      </c>
      <c r="D56" s="163">
        <v>55</v>
      </c>
      <c r="E56" s="164">
        <f t="shared" si="2"/>
        <v>12.599789815610968</v>
      </c>
      <c r="F56" s="164">
        <v>3.5</v>
      </c>
      <c r="G56" s="164"/>
      <c r="H56" s="164"/>
      <c r="I56" s="166">
        <v>64</v>
      </c>
      <c r="J56" s="163">
        <f t="shared" si="21"/>
        <v>19.393939393939394</v>
      </c>
      <c r="K56" s="167">
        <v>450</v>
      </c>
      <c r="L56" s="168">
        <f t="shared" si="22"/>
        <v>535.37946428571422</v>
      </c>
      <c r="M56" s="169">
        <f t="shared" si="23"/>
        <v>10383.116883116882</v>
      </c>
      <c r="N56" s="170"/>
      <c r="O56" s="171"/>
      <c r="P56" s="172">
        <f t="shared" si="24"/>
        <v>0</v>
      </c>
      <c r="Q56" s="168">
        <v>5</v>
      </c>
      <c r="R56" s="168">
        <f t="shared" si="25"/>
        <v>229.79797979797979</v>
      </c>
      <c r="S56" s="163">
        <v>37</v>
      </c>
      <c r="T56" s="168"/>
      <c r="U56" s="173"/>
      <c r="V56" s="178">
        <f t="shared" si="27"/>
        <v>175</v>
      </c>
      <c r="W56" s="169">
        <f t="shared" si="28"/>
        <v>2086.9690455717973</v>
      </c>
      <c r="X56" s="174"/>
      <c r="Y56" s="169">
        <f t="shared" si="29"/>
        <v>10612.914862914862</v>
      </c>
      <c r="Z56" s="175">
        <f t="shared" si="30"/>
        <v>3.5095617932919518</v>
      </c>
      <c r="AA56" s="176">
        <f t="shared" si="31"/>
        <v>5.5260287569257969</v>
      </c>
      <c r="AB56" s="169">
        <f t="shared" si="32"/>
        <v>12699.883908486659</v>
      </c>
      <c r="AC56" s="175">
        <f t="shared" si="33"/>
        <v>4.1996970596847421</v>
      </c>
      <c r="AD56" s="176">
        <f t="shared" si="34"/>
        <v>4.6179377032007247</v>
      </c>
      <c r="AE56" s="177"/>
      <c r="AF56" s="169"/>
      <c r="AG56" s="176"/>
      <c r="AH56" s="113"/>
      <c r="AI56" s="117"/>
      <c r="AJ56" s="13">
        <f t="shared" si="36"/>
        <v>1527.1358418131626</v>
      </c>
      <c r="AK56" s="13">
        <v>1800</v>
      </c>
      <c r="AL56" s="244">
        <f t="shared" si="37"/>
        <v>4.2420440050365631</v>
      </c>
    </row>
    <row r="57" spans="1:38" ht="18" customHeight="1" x14ac:dyDescent="0.25">
      <c r="A57" s="161" t="s">
        <v>96</v>
      </c>
      <c r="B57" s="162"/>
      <c r="C57" s="144">
        <v>24</v>
      </c>
      <c r="D57" s="163">
        <v>55</v>
      </c>
      <c r="E57" s="164">
        <f t="shared" si="2"/>
        <v>12.599789815610968</v>
      </c>
      <c r="F57" s="164">
        <v>3.5</v>
      </c>
      <c r="G57" s="164"/>
      <c r="H57" s="164"/>
      <c r="I57" s="166">
        <v>57.5</v>
      </c>
      <c r="J57" s="163">
        <f t="shared" si="21"/>
        <v>17.424242424242426</v>
      </c>
      <c r="K57" s="167">
        <v>450</v>
      </c>
      <c r="L57" s="168">
        <f t="shared" si="22"/>
        <v>535.37946428571422</v>
      </c>
      <c r="M57" s="169">
        <f t="shared" si="23"/>
        <v>9328.5815746753251</v>
      </c>
      <c r="N57" s="170"/>
      <c r="O57" s="171"/>
      <c r="P57" s="172">
        <f t="shared" si="24"/>
        <v>0</v>
      </c>
      <c r="Q57" s="168">
        <v>9</v>
      </c>
      <c r="R57" s="168">
        <f t="shared" si="25"/>
        <v>792.47474747474735</v>
      </c>
      <c r="S57" s="163">
        <v>38</v>
      </c>
      <c r="T57" s="168"/>
      <c r="U57" s="173"/>
      <c r="V57" s="178">
        <f t="shared" si="27"/>
        <v>315</v>
      </c>
      <c r="W57" s="169">
        <f t="shared" si="28"/>
        <v>3756.5442820292355</v>
      </c>
      <c r="X57" s="174"/>
      <c r="Y57" s="169">
        <f t="shared" si="29"/>
        <v>10121.056322150072</v>
      </c>
      <c r="Z57" s="175">
        <f t="shared" si="30"/>
        <v>3.3469101594411614</v>
      </c>
      <c r="AA57" s="176">
        <f t="shared" si="31"/>
        <v>5.2060681626278784</v>
      </c>
      <c r="AB57" s="169">
        <f t="shared" si="32"/>
        <v>13877.600604179308</v>
      </c>
      <c r="AC57" s="175">
        <f>AB57/3024+0.6</f>
        <v>5.1891536389481834</v>
      </c>
      <c r="AD57" s="176">
        <f t="shared" si="34"/>
        <v>3.3578197210160532</v>
      </c>
      <c r="AE57" s="177"/>
      <c r="AF57" s="169"/>
      <c r="AG57" s="176"/>
      <c r="AH57" s="113"/>
      <c r="AI57" s="117"/>
      <c r="AJ57" s="13">
        <f t="shared" si="36"/>
        <v>1886.9319377307279</v>
      </c>
      <c r="AK57" s="13">
        <v>2300</v>
      </c>
      <c r="AL57" s="244">
        <f t="shared" si="37"/>
        <v>5.2414776048075771</v>
      </c>
    </row>
    <row r="58" spans="1:38" ht="18" customHeight="1" x14ac:dyDescent="0.25">
      <c r="A58" s="161"/>
      <c r="B58" s="162"/>
      <c r="C58" s="144"/>
      <c r="D58" s="163"/>
      <c r="E58" s="164"/>
      <c r="F58" s="164"/>
      <c r="G58" s="164"/>
      <c r="H58" s="164"/>
      <c r="I58" s="166"/>
      <c r="J58" s="163"/>
      <c r="K58" s="167"/>
      <c r="L58" s="168"/>
      <c r="M58" s="169"/>
      <c r="N58" s="170"/>
      <c r="O58" s="171"/>
      <c r="P58" s="172"/>
      <c r="Q58" s="168"/>
      <c r="R58" s="168"/>
      <c r="S58" s="163"/>
      <c r="T58" s="168"/>
      <c r="U58" s="173"/>
      <c r="V58" s="178"/>
      <c r="W58" s="169"/>
      <c r="X58" s="174"/>
      <c r="Y58" s="169"/>
      <c r="Z58" s="175"/>
      <c r="AA58" s="176"/>
      <c r="AB58" s="169"/>
      <c r="AC58" s="175"/>
      <c r="AD58" s="176"/>
      <c r="AE58" s="177"/>
      <c r="AF58" s="169"/>
      <c r="AG58" s="176"/>
      <c r="AH58" s="113"/>
      <c r="AI58" s="117"/>
    </row>
    <row r="59" spans="1:38" ht="18" customHeight="1" x14ac:dyDescent="0.25">
      <c r="A59" s="161"/>
      <c r="B59" s="162"/>
      <c r="C59" s="144"/>
      <c r="D59" s="163"/>
      <c r="E59" s="164"/>
      <c r="F59" s="164"/>
      <c r="G59" s="164"/>
      <c r="H59" s="164"/>
      <c r="I59" s="166"/>
      <c r="J59" s="163"/>
      <c r="K59" s="167"/>
      <c r="L59" s="168"/>
      <c r="M59" s="169"/>
      <c r="N59" s="170"/>
      <c r="O59" s="171"/>
      <c r="P59" s="172"/>
      <c r="Q59" s="168"/>
      <c r="R59" s="168"/>
      <c r="S59" s="163"/>
      <c r="T59" s="168"/>
      <c r="U59" s="173"/>
      <c r="V59" s="178"/>
      <c r="W59" s="169"/>
      <c r="X59" s="174"/>
      <c r="Y59" s="169"/>
      <c r="Z59" s="175"/>
      <c r="AA59" s="176"/>
      <c r="AB59" s="169"/>
      <c r="AC59" s="175"/>
      <c r="AD59" s="176"/>
      <c r="AE59" s="177"/>
      <c r="AF59" s="169"/>
      <c r="AG59" s="176"/>
      <c r="AH59" s="113"/>
      <c r="AI59" s="117"/>
    </row>
    <row r="60" spans="1:38" ht="18" customHeight="1" x14ac:dyDescent="0.25">
      <c r="A60" s="161" t="s">
        <v>98</v>
      </c>
      <c r="B60" s="162"/>
      <c r="C60" s="144"/>
      <c r="D60" s="163"/>
      <c r="E60" s="164"/>
      <c r="F60" s="164"/>
      <c r="G60" s="164"/>
      <c r="H60" s="164"/>
      <c r="I60" s="166"/>
      <c r="J60" s="163"/>
      <c r="K60" s="167"/>
      <c r="L60" s="168"/>
      <c r="M60" s="169"/>
      <c r="N60" s="170"/>
      <c r="O60" s="171"/>
      <c r="P60" s="172"/>
      <c r="Q60" s="168"/>
      <c r="R60" s="168"/>
      <c r="S60" s="163"/>
      <c r="T60" s="168"/>
      <c r="U60" s="173"/>
      <c r="V60" s="178"/>
      <c r="W60" s="169"/>
      <c r="X60" s="174"/>
      <c r="Y60" s="169"/>
      <c r="Z60" s="175"/>
      <c r="AA60" s="176"/>
      <c r="AB60" s="169"/>
      <c r="AC60" s="175"/>
      <c r="AD60" s="176"/>
      <c r="AE60" s="177"/>
      <c r="AF60" s="169"/>
      <c r="AG60" s="176"/>
      <c r="AH60" s="113"/>
      <c r="AI60" s="117"/>
    </row>
    <row r="61" spans="1:38" ht="18" customHeight="1" x14ac:dyDescent="0.25">
      <c r="A61" s="161" t="s">
        <v>99</v>
      </c>
      <c r="B61" s="162"/>
      <c r="C61" s="144">
        <v>24</v>
      </c>
      <c r="D61" s="163">
        <v>55</v>
      </c>
      <c r="E61" s="164">
        <f t="shared" si="2"/>
        <v>12.599789815610968</v>
      </c>
      <c r="F61" s="164">
        <v>3.5</v>
      </c>
      <c r="G61" s="164"/>
      <c r="H61" s="164"/>
      <c r="I61" s="166">
        <v>59.3</v>
      </c>
      <c r="J61" s="163">
        <f t="shared" ref="J61:J81" si="38">I61/3.3</f>
        <v>17.969696969696969</v>
      </c>
      <c r="K61" s="167">
        <v>450</v>
      </c>
      <c r="L61" s="168">
        <f t="shared" ref="L61:L81" si="39">(K61/2*F61/3.2+K61/2*($A$3-C61)/($A$3-26))</f>
        <v>535.37946428571422</v>
      </c>
      <c r="M61" s="169">
        <f t="shared" ref="M61:M81" si="40">J61*L61</f>
        <v>9620.6067370129858</v>
      </c>
      <c r="N61" s="170"/>
      <c r="O61" s="171"/>
      <c r="P61" s="172">
        <f t="shared" ref="P61:P81" si="41">O61*N61</f>
        <v>0</v>
      </c>
      <c r="Q61" s="168">
        <v>18</v>
      </c>
      <c r="R61" s="168">
        <f t="shared" ref="R61:R81" si="42">IF(Q61&gt;0,(Q61-(J61/6))*130,0)</f>
        <v>1950.6565656565656</v>
      </c>
      <c r="S61" s="163">
        <v>43</v>
      </c>
      <c r="T61" s="168"/>
      <c r="U61" s="173"/>
      <c r="V61" s="178">
        <f t="shared" ref="V61:V81" si="43">Q61*35</f>
        <v>630</v>
      </c>
      <c r="W61" s="169">
        <f t="shared" ref="W61:W81" si="44">72*V61/60*(D$3-E61)</f>
        <v>7513.0885640584711</v>
      </c>
      <c r="X61" s="174"/>
      <c r="Y61" s="169">
        <f t="shared" ref="Y61:Y81" si="45">U61+R61+P61+M61</f>
        <v>11571.263302669551</v>
      </c>
      <c r="Z61" s="175">
        <f t="shared" ref="Z61:Z81" si="46">Y61/3024</f>
        <v>3.8264759598774969</v>
      </c>
      <c r="AA61" s="176">
        <f t="shared" ref="AA61:AA81" si="47">$J61/Z61</f>
        <v>4.6961478807441042</v>
      </c>
      <c r="AB61" s="169">
        <f t="shared" ref="AB61:AB81" si="48">W61+U61+R61+P61+M61</f>
        <v>19084.351866728022</v>
      </c>
      <c r="AC61" s="175">
        <f t="shared" ref="AC61:AC81" si="49">AB61/3024</f>
        <v>6.3109629188915415</v>
      </c>
      <c r="AD61" s="176">
        <f t="shared" ref="AD61:AD81" si="50">$J61/AC61</f>
        <v>2.8473779993074606</v>
      </c>
      <c r="AE61" s="177"/>
      <c r="AF61" s="169"/>
      <c r="AG61" s="176"/>
      <c r="AH61" s="113"/>
      <c r="AI61" s="117"/>
    </row>
    <row r="62" spans="1:38" ht="18" customHeight="1" x14ac:dyDescent="0.25">
      <c r="A62" s="161" t="s">
        <v>100</v>
      </c>
      <c r="B62" s="162"/>
      <c r="C62" s="144">
        <v>24</v>
      </c>
      <c r="D62" s="163">
        <v>55</v>
      </c>
      <c r="E62" s="164">
        <f t="shared" si="2"/>
        <v>12.599789815610968</v>
      </c>
      <c r="F62" s="164">
        <v>3.5</v>
      </c>
      <c r="G62" s="164"/>
      <c r="H62" s="164"/>
      <c r="I62" s="166">
        <v>32.799999999999997</v>
      </c>
      <c r="J62" s="163">
        <f t="shared" si="38"/>
        <v>9.9393939393939394</v>
      </c>
      <c r="K62" s="167">
        <v>450</v>
      </c>
      <c r="L62" s="168">
        <f t="shared" si="39"/>
        <v>535.37946428571422</v>
      </c>
      <c r="M62" s="169">
        <f t="shared" si="40"/>
        <v>5321.3474025974019</v>
      </c>
      <c r="N62" s="170"/>
      <c r="O62" s="171"/>
      <c r="P62" s="172">
        <f t="shared" si="41"/>
        <v>0</v>
      </c>
      <c r="Q62" s="168">
        <v>12</v>
      </c>
      <c r="R62" s="168">
        <f t="shared" si="42"/>
        <v>1344.6464646464644</v>
      </c>
      <c r="S62" s="163">
        <v>44</v>
      </c>
      <c r="T62" s="168"/>
      <c r="U62" s="173"/>
      <c r="V62" s="178">
        <f t="shared" si="43"/>
        <v>420</v>
      </c>
      <c r="W62" s="169">
        <f t="shared" si="44"/>
        <v>5008.7257093723138</v>
      </c>
      <c r="X62" s="174"/>
      <c r="Y62" s="169">
        <f t="shared" si="45"/>
        <v>6665.9938672438666</v>
      </c>
      <c r="Z62" s="175">
        <f t="shared" si="46"/>
        <v>2.2043630513372574</v>
      </c>
      <c r="AA62" s="176">
        <f t="shared" si="47"/>
        <v>4.5089641351792276</v>
      </c>
      <c r="AB62" s="169">
        <f t="shared" si="48"/>
        <v>11674.71957661618</v>
      </c>
      <c r="AC62" s="175">
        <f t="shared" si="49"/>
        <v>3.8606876906799537</v>
      </c>
      <c r="AD62" s="176">
        <f t="shared" si="50"/>
        <v>2.5745138523865911</v>
      </c>
      <c r="AE62" s="177"/>
      <c r="AF62" s="169"/>
      <c r="AG62" s="176"/>
      <c r="AH62" s="113"/>
      <c r="AI62" s="117"/>
    </row>
    <row r="63" spans="1:38" ht="18" customHeight="1" x14ac:dyDescent="0.25">
      <c r="A63" s="161" t="s">
        <v>101</v>
      </c>
      <c r="B63" s="162"/>
      <c r="C63" s="144">
        <v>24</v>
      </c>
      <c r="D63" s="163">
        <v>55</v>
      </c>
      <c r="E63" s="164">
        <f t="shared" si="2"/>
        <v>12.599789815610968</v>
      </c>
      <c r="F63" s="164">
        <v>3.5</v>
      </c>
      <c r="G63" s="164"/>
      <c r="H63" s="164"/>
      <c r="I63" s="166">
        <v>194.2</v>
      </c>
      <c r="J63" s="163">
        <f t="shared" si="38"/>
        <v>58.848484848484851</v>
      </c>
      <c r="K63" s="167">
        <v>450</v>
      </c>
      <c r="L63" s="168">
        <f t="shared" si="39"/>
        <v>535.37946428571422</v>
      </c>
      <c r="M63" s="169">
        <f t="shared" si="40"/>
        <v>31506.270292207791</v>
      </c>
      <c r="N63" s="170"/>
      <c r="O63" s="171"/>
      <c r="P63" s="172">
        <f t="shared" si="41"/>
        <v>0</v>
      </c>
      <c r="Q63" s="168">
        <v>20</v>
      </c>
      <c r="R63" s="168">
        <f t="shared" si="42"/>
        <v>1324.9494949494949</v>
      </c>
      <c r="S63" s="163">
        <v>45</v>
      </c>
      <c r="T63" s="168"/>
      <c r="U63" s="173"/>
      <c r="V63" s="178">
        <f t="shared" si="43"/>
        <v>700</v>
      </c>
      <c r="W63" s="169">
        <f t="shared" si="44"/>
        <v>8347.8761822871893</v>
      </c>
      <c r="X63" s="174"/>
      <c r="Y63" s="169">
        <f t="shared" si="45"/>
        <v>32831.219787157286</v>
      </c>
      <c r="Z63" s="175">
        <f t="shared" si="46"/>
        <v>10.856884850250426</v>
      </c>
      <c r="AA63" s="176">
        <f t="shared" si="47"/>
        <v>5.4203839922947559</v>
      </c>
      <c r="AB63" s="169">
        <f t="shared" si="48"/>
        <v>41179.095969444475</v>
      </c>
      <c r="AC63" s="175">
        <f t="shared" si="49"/>
        <v>13.617425915821586</v>
      </c>
      <c r="AD63" s="176">
        <f t="shared" si="50"/>
        <v>4.321557187993287</v>
      </c>
      <c r="AE63" s="177"/>
      <c r="AF63" s="169"/>
      <c r="AG63" s="176"/>
      <c r="AH63" s="113"/>
      <c r="AI63" s="117"/>
    </row>
    <row r="64" spans="1:38" ht="18" customHeight="1" x14ac:dyDescent="0.25">
      <c r="A64" s="161"/>
      <c r="B64" s="162"/>
      <c r="C64" s="144"/>
      <c r="D64" s="163"/>
      <c r="E64" s="164"/>
      <c r="F64" s="164"/>
      <c r="G64" s="164"/>
      <c r="H64" s="164"/>
      <c r="I64" s="166"/>
      <c r="J64" s="163"/>
      <c r="K64" s="167"/>
      <c r="L64" s="168"/>
      <c r="M64" s="169"/>
      <c r="N64" s="170"/>
      <c r="O64" s="171"/>
      <c r="P64" s="172"/>
      <c r="Q64" s="168"/>
      <c r="R64" s="168"/>
      <c r="S64" s="163"/>
      <c r="T64" s="168"/>
      <c r="U64" s="173"/>
      <c r="V64" s="178"/>
      <c r="W64" s="169"/>
      <c r="X64" s="174"/>
      <c r="Y64" s="169"/>
      <c r="Z64" s="175"/>
      <c r="AA64" s="176"/>
      <c r="AB64" s="169"/>
      <c r="AC64" s="175"/>
      <c r="AD64" s="176"/>
      <c r="AE64" s="177"/>
      <c r="AF64" s="169"/>
      <c r="AG64" s="176"/>
      <c r="AH64" s="113"/>
      <c r="AI64" s="117"/>
    </row>
    <row r="65" spans="1:38" ht="18" customHeight="1" x14ac:dyDescent="0.25">
      <c r="A65" s="161"/>
      <c r="B65" s="162"/>
      <c r="C65" s="144"/>
      <c r="D65" s="163"/>
      <c r="E65" s="164"/>
      <c r="F65" s="164"/>
      <c r="G65" s="164"/>
      <c r="H65" s="164"/>
      <c r="I65" s="166"/>
      <c r="J65" s="163"/>
      <c r="K65" s="167"/>
      <c r="L65" s="168"/>
      <c r="M65" s="169"/>
      <c r="N65" s="170"/>
      <c r="O65" s="171"/>
      <c r="P65" s="172"/>
      <c r="Q65" s="168"/>
      <c r="R65" s="168"/>
      <c r="S65" s="163"/>
      <c r="T65" s="168"/>
      <c r="U65" s="173"/>
      <c r="V65" s="178"/>
      <c r="W65" s="169"/>
      <c r="X65" s="174"/>
      <c r="Y65" s="169"/>
      <c r="Z65" s="175"/>
      <c r="AA65" s="176"/>
      <c r="AB65" s="169"/>
      <c r="AC65" s="175"/>
      <c r="AD65" s="176"/>
      <c r="AE65" s="177"/>
      <c r="AF65" s="169"/>
      <c r="AG65" s="176"/>
      <c r="AH65" s="113"/>
      <c r="AI65" s="117"/>
    </row>
    <row r="66" spans="1:38" ht="18" customHeight="1" x14ac:dyDescent="0.25">
      <c r="A66" s="161" t="s">
        <v>102</v>
      </c>
      <c r="B66" s="162"/>
      <c r="C66" s="144"/>
      <c r="D66" s="163"/>
      <c r="E66" s="164"/>
      <c r="F66" s="164"/>
      <c r="G66" s="164"/>
      <c r="H66" s="164"/>
      <c r="I66" s="166"/>
      <c r="J66" s="163"/>
      <c r="K66" s="167"/>
      <c r="L66" s="168"/>
      <c r="M66" s="169"/>
      <c r="N66" s="170"/>
      <c r="O66" s="171"/>
      <c r="P66" s="172"/>
      <c r="Q66" s="168"/>
      <c r="R66" s="168"/>
      <c r="S66" s="163"/>
      <c r="T66" s="168"/>
      <c r="U66" s="173"/>
      <c r="V66" s="178"/>
      <c r="W66" s="169"/>
      <c r="X66" s="174"/>
      <c r="Y66" s="169"/>
      <c r="Z66" s="175"/>
      <c r="AA66" s="176"/>
      <c r="AB66" s="169"/>
      <c r="AC66" s="175"/>
      <c r="AD66" s="176"/>
      <c r="AE66" s="177"/>
      <c r="AF66" s="169"/>
      <c r="AG66" s="176"/>
      <c r="AH66" s="113"/>
      <c r="AI66" s="117"/>
      <c r="AJ66" s="13">
        <v>51000</v>
      </c>
      <c r="AK66" s="13">
        <f>AJ66/61.8</f>
        <v>825.242718446602</v>
      </c>
    </row>
    <row r="67" spans="1:38" ht="18" customHeight="1" x14ac:dyDescent="0.25">
      <c r="A67" s="161" t="s">
        <v>103</v>
      </c>
      <c r="B67" s="162"/>
      <c r="C67" s="144">
        <v>24</v>
      </c>
      <c r="D67" s="163">
        <v>55</v>
      </c>
      <c r="E67" s="164">
        <f t="shared" si="2"/>
        <v>12.599789815610968</v>
      </c>
      <c r="F67" s="164">
        <v>3.5</v>
      </c>
      <c r="G67" s="164"/>
      <c r="H67" s="164"/>
      <c r="I67" s="166">
        <v>131</v>
      </c>
      <c r="J67" s="163">
        <f t="shared" si="38"/>
        <v>39.696969696969703</v>
      </c>
      <c r="K67" s="167">
        <v>450</v>
      </c>
      <c r="L67" s="168">
        <f t="shared" si="39"/>
        <v>535.37946428571422</v>
      </c>
      <c r="M67" s="169">
        <f t="shared" si="40"/>
        <v>21252.942370129869</v>
      </c>
      <c r="N67" s="170"/>
      <c r="O67" s="171"/>
      <c r="P67" s="172">
        <f t="shared" si="41"/>
        <v>0</v>
      </c>
      <c r="Q67" s="168">
        <v>29</v>
      </c>
      <c r="R67" s="168">
        <f t="shared" si="42"/>
        <v>2909.8989898989898</v>
      </c>
      <c r="S67" s="163">
        <v>49</v>
      </c>
      <c r="T67" s="168"/>
      <c r="U67" s="173"/>
      <c r="V67" s="178">
        <f t="shared" si="43"/>
        <v>1015</v>
      </c>
      <c r="W67" s="169">
        <f t="shared" si="44"/>
        <v>12104.420464316425</v>
      </c>
      <c r="X67" s="174"/>
      <c r="Y67" s="169">
        <f t="shared" si="45"/>
        <v>24162.841360028859</v>
      </c>
      <c r="Z67" s="175">
        <f t="shared" si="46"/>
        <v>7.9903575926021357</v>
      </c>
      <c r="AA67" s="176">
        <f t="shared" si="47"/>
        <v>4.9681092788291608</v>
      </c>
      <c r="AB67" s="169">
        <f t="shared" si="48"/>
        <v>36267.261824345282</v>
      </c>
      <c r="AC67" s="175">
        <f t="shared" si="49"/>
        <v>11.993142137680318</v>
      </c>
      <c r="AD67" s="176">
        <f t="shared" si="50"/>
        <v>3.3099724193419582</v>
      </c>
      <c r="AE67" s="177"/>
      <c r="AF67" s="169"/>
      <c r="AG67" s="176"/>
      <c r="AH67" s="113"/>
      <c r="AI67" s="117"/>
      <c r="AJ67" s="13">
        <f>AC67*825.24</f>
        <v>9897.2206176993059</v>
      </c>
      <c r="AK67" s="13" t="s">
        <v>121</v>
      </c>
      <c r="AL67" s="244">
        <f>AJ67/800</f>
        <v>12.371525772124132</v>
      </c>
    </row>
    <row r="68" spans="1:38" ht="18" customHeight="1" x14ac:dyDescent="0.25">
      <c r="A68" s="161" t="s">
        <v>104</v>
      </c>
      <c r="B68" s="162"/>
      <c r="C68" s="144">
        <v>24</v>
      </c>
      <c r="D68" s="163">
        <v>55</v>
      </c>
      <c r="E68" s="164">
        <f t="shared" si="2"/>
        <v>12.599789815610968</v>
      </c>
      <c r="F68" s="164">
        <v>3.5</v>
      </c>
      <c r="G68" s="164"/>
      <c r="H68" s="164"/>
      <c r="I68" s="166">
        <v>23.3</v>
      </c>
      <c r="J68" s="163">
        <f t="shared" si="38"/>
        <v>7.0606060606060614</v>
      </c>
      <c r="K68" s="167">
        <v>450</v>
      </c>
      <c r="L68" s="168">
        <f t="shared" si="39"/>
        <v>535.37946428571422</v>
      </c>
      <c r="M68" s="169">
        <f t="shared" si="40"/>
        <v>3780.1034902597403</v>
      </c>
      <c r="N68" s="170"/>
      <c r="O68" s="171"/>
      <c r="P68" s="172">
        <f t="shared" si="41"/>
        <v>0</v>
      </c>
      <c r="Q68" s="168">
        <v>7</v>
      </c>
      <c r="R68" s="168">
        <f t="shared" si="42"/>
        <v>757.02020202020208</v>
      </c>
      <c r="S68" s="163">
        <v>50</v>
      </c>
      <c r="T68" s="168"/>
      <c r="U68" s="173"/>
      <c r="V68" s="178">
        <f t="shared" si="43"/>
        <v>245</v>
      </c>
      <c r="W68" s="169">
        <f t="shared" si="44"/>
        <v>2921.7566638005164</v>
      </c>
      <c r="X68" s="174"/>
      <c r="Y68" s="169">
        <f t="shared" si="45"/>
        <v>4537.1236922799426</v>
      </c>
      <c r="Z68" s="175">
        <f t="shared" si="46"/>
        <v>1.5003715913624149</v>
      </c>
      <c r="AA68" s="176">
        <f t="shared" si="47"/>
        <v>4.7059049246558091</v>
      </c>
      <c r="AB68" s="169">
        <f t="shared" si="48"/>
        <v>7458.880356080459</v>
      </c>
      <c r="AC68" s="175">
        <f t="shared" si="49"/>
        <v>2.466560964312321</v>
      </c>
      <c r="AD68" s="176">
        <f t="shared" si="50"/>
        <v>2.8625305284414746</v>
      </c>
      <c r="AE68" s="177"/>
      <c r="AF68" s="169"/>
      <c r="AG68" s="176"/>
      <c r="AH68" s="113"/>
      <c r="AI68" s="117"/>
      <c r="AJ68" s="13">
        <f t="shared" ref="AJ68:AJ81" si="51">AC68*825.24</f>
        <v>2035.5047701890999</v>
      </c>
      <c r="AK68" s="13">
        <v>2300</v>
      </c>
      <c r="AL68" s="244">
        <f t="shared" ref="AL68:AL81" si="52">AJ68/800</f>
        <v>2.5443809627363749</v>
      </c>
    </row>
    <row r="69" spans="1:38" ht="18" customHeight="1" x14ac:dyDescent="0.25">
      <c r="A69" s="161" t="s">
        <v>105</v>
      </c>
      <c r="B69" s="162"/>
      <c r="C69" s="144">
        <v>24</v>
      </c>
      <c r="D69" s="163">
        <v>55</v>
      </c>
      <c r="E69" s="164">
        <f t="shared" si="2"/>
        <v>12.599789815610968</v>
      </c>
      <c r="F69" s="164">
        <v>3.5</v>
      </c>
      <c r="G69" s="164"/>
      <c r="H69" s="164"/>
      <c r="I69" s="166">
        <v>12.8</v>
      </c>
      <c r="J69" s="163">
        <f t="shared" si="38"/>
        <v>3.8787878787878793</v>
      </c>
      <c r="K69" s="167">
        <v>450</v>
      </c>
      <c r="L69" s="168">
        <f t="shared" si="39"/>
        <v>535.37946428571422</v>
      </c>
      <c r="M69" s="169">
        <f t="shared" si="40"/>
        <v>2076.6233766233768</v>
      </c>
      <c r="N69" s="170"/>
      <c r="O69" s="171"/>
      <c r="P69" s="172">
        <f t="shared" si="41"/>
        <v>0</v>
      </c>
      <c r="Q69" s="168">
        <v>3</v>
      </c>
      <c r="R69" s="168">
        <f t="shared" si="42"/>
        <v>305.95959595959596</v>
      </c>
      <c r="S69" s="163">
        <v>51</v>
      </c>
      <c r="T69" s="168"/>
      <c r="U69" s="173"/>
      <c r="V69" s="178">
        <f t="shared" si="43"/>
        <v>105</v>
      </c>
      <c r="W69" s="169">
        <f t="shared" si="44"/>
        <v>1252.1814273430784</v>
      </c>
      <c r="X69" s="174"/>
      <c r="Y69" s="169">
        <f t="shared" si="45"/>
        <v>2382.5829725829726</v>
      </c>
      <c r="Z69" s="175">
        <f t="shared" si="46"/>
        <v>0.78789119463722634</v>
      </c>
      <c r="AA69" s="176">
        <f t="shared" si="47"/>
        <v>4.922999400410629</v>
      </c>
      <c r="AB69" s="169">
        <f t="shared" si="48"/>
        <v>3634.7643999260513</v>
      </c>
      <c r="AC69" s="175">
        <f t="shared" si="49"/>
        <v>1.2019723544729006</v>
      </c>
      <c r="AD69" s="176">
        <f t="shared" si="50"/>
        <v>3.2270192108443618</v>
      </c>
      <c r="AE69" s="177"/>
      <c r="AF69" s="169"/>
      <c r="AG69" s="176"/>
      <c r="AH69" s="113"/>
      <c r="AI69" s="117"/>
      <c r="AJ69" s="13">
        <f t="shared" si="51"/>
        <v>991.91566580521658</v>
      </c>
      <c r="AK69" s="13">
        <v>1100</v>
      </c>
      <c r="AL69" s="244">
        <f t="shared" si="52"/>
        <v>1.2398945822565208</v>
      </c>
    </row>
    <row r="70" spans="1:38" ht="18" customHeight="1" x14ac:dyDescent="0.25">
      <c r="A70" s="161" t="s">
        <v>106</v>
      </c>
      <c r="B70" s="162"/>
      <c r="C70" s="144">
        <v>24</v>
      </c>
      <c r="D70" s="163">
        <v>55</v>
      </c>
      <c r="E70" s="164">
        <f t="shared" si="2"/>
        <v>12.599789815610968</v>
      </c>
      <c r="F70" s="164">
        <v>3.5</v>
      </c>
      <c r="G70" s="164"/>
      <c r="H70" s="164"/>
      <c r="I70" s="166">
        <v>6.4</v>
      </c>
      <c r="J70" s="163">
        <f t="shared" si="38"/>
        <v>1.9393939393939397</v>
      </c>
      <c r="K70" s="167">
        <v>450</v>
      </c>
      <c r="L70" s="168">
        <f t="shared" si="39"/>
        <v>535.37946428571422</v>
      </c>
      <c r="M70" s="169">
        <f t="shared" si="40"/>
        <v>1038.3116883116884</v>
      </c>
      <c r="N70" s="170"/>
      <c r="O70" s="171"/>
      <c r="P70" s="172">
        <f t="shared" si="41"/>
        <v>0</v>
      </c>
      <c r="Q70" s="168">
        <v>1</v>
      </c>
      <c r="R70" s="168">
        <f t="shared" si="42"/>
        <v>87.979797979797965</v>
      </c>
      <c r="S70" s="163">
        <v>52</v>
      </c>
      <c r="T70" s="168"/>
      <c r="U70" s="173"/>
      <c r="V70" s="178">
        <f t="shared" si="43"/>
        <v>35</v>
      </c>
      <c r="W70" s="169">
        <f t="shared" si="44"/>
        <v>417.3938091143595</v>
      </c>
      <c r="X70" s="174"/>
      <c r="Y70" s="169">
        <f t="shared" si="45"/>
        <v>1126.2914862914863</v>
      </c>
      <c r="Z70" s="175">
        <f t="shared" si="46"/>
        <v>0.37245088832390422</v>
      </c>
      <c r="AA70" s="176">
        <f t="shared" si="47"/>
        <v>5.207113206580229</v>
      </c>
      <c r="AB70" s="169">
        <f t="shared" si="48"/>
        <v>1543.6852954058459</v>
      </c>
      <c r="AC70" s="175">
        <f t="shared" si="49"/>
        <v>0.51047794160246229</v>
      </c>
      <c r="AD70" s="176">
        <f t="shared" si="50"/>
        <v>3.7991728561393043</v>
      </c>
      <c r="AE70" s="177"/>
      <c r="AF70" s="169"/>
      <c r="AG70" s="176"/>
      <c r="AH70" s="113"/>
      <c r="AI70" s="117"/>
      <c r="AJ70" s="13">
        <f t="shared" si="51"/>
        <v>421.26681652801597</v>
      </c>
      <c r="AK70" s="13">
        <v>550</v>
      </c>
      <c r="AL70" s="244">
        <f t="shared" si="52"/>
        <v>0.52658352066002001</v>
      </c>
    </row>
    <row r="71" spans="1:38" ht="18" customHeight="1" x14ac:dyDescent="0.25">
      <c r="A71" s="161" t="s">
        <v>107</v>
      </c>
      <c r="B71" s="162"/>
      <c r="C71" s="144">
        <v>24</v>
      </c>
      <c r="D71" s="163">
        <v>55</v>
      </c>
      <c r="E71" s="164">
        <f t="shared" si="2"/>
        <v>12.599789815610968</v>
      </c>
      <c r="F71" s="164">
        <v>3.5</v>
      </c>
      <c r="G71" s="164"/>
      <c r="H71" s="164"/>
      <c r="I71" s="166">
        <v>12.1</v>
      </c>
      <c r="J71" s="163">
        <f t="shared" si="38"/>
        <v>3.666666666666667</v>
      </c>
      <c r="K71" s="167">
        <v>450</v>
      </c>
      <c r="L71" s="168">
        <f t="shared" si="39"/>
        <v>535.37946428571422</v>
      </c>
      <c r="M71" s="169">
        <f t="shared" si="40"/>
        <v>1963.0580357142856</v>
      </c>
      <c r="N71" s="170"/>
      <c r="O71" s="171"/>
      <c r="P71" s="172">
        <f t="shared" si="41"/>
        <v>0</v>
      </c>
      <c r="Q71" s="168">
        <v>6</v>
      </c>
      <c r="R71" s="168">
        <f t="shared" si="42"/>
        <v>700.55555555555566</v>
      </c>
      <c r="S71" s="163">
        <v>53</v>
      </c>
      <c r="T71" s="168"/>
      <c r="U71" s="173"/>
      <c r="V71" s="178">
        <f t="shared" si="43"/>
        <v>210</v>
      </c>
      <c r="W71" s="169">
        <f t="shared" si="44"/>
        <v>2504.3628546861569</v>
      </c>
      <c r="X71" s="174"/>
      <c r="Y71" s="169">
        <f t="shared" si="45"/>
        <v>2663.613591269841</v>
      </c>
      <c r="Z71" s="175">
        <f t="shared" si="46"/>
        <v>0.88082460028764586</v>
      </c>
      <c r="AA71" s="176">
        <f t="shared" si="47"/>
        <v>4.1627659643807231</v>
      </c>
      <c r="AB71" s="169">
        <f t="shared" si="48"/>
        <v>5167.9764459559983</v>
      </c>
      <c r="AC71" s="175">
        <f t="shared" si="49"/>
        <v>1.7089869199589942</v>
      </c>
      <c r="AD71" s="176">
        <f t="shared" si="50"/>
        <v>2.1455206144905108</v>
      </c>
      <c r="AE71" s="177"/>
      <c r="AF71" s="169"/>
      <c r="AG71" s="176"/>
      <c r="AH71" s="113"/>
      <c r="AI71" s="117"/>
      <c r="AJ71" s="13">
        <f t="shared" si="51"/>
        <v>1410.3243658269605</v>
      </c>
      <c r="AK71" s="13">
        <v>1450</v>
      </c>
      <c r="AL71" s="244">
        <f t="shared" si="52"/>
        <v>1.7629054572837006</v>
      </c>
    </row>
    <row r="72" spans="1:38" ht="18" customHeight="1" x14ac:dyDescent="0.25">
      <c r="A72" s="161" t="s">
        <v>108</v>
      </c>
      <c r="B72" s="162"/>
      <c r="C72" s="144">
        <v>24</v>
      </c>
      <c r="D72" s="163">
        <v>55</v>
      </c>
      <c r="E72" s="164">
        <f t="shared" si="2"/>
        <v>12.599789815610968</v>
      </c>
      <c r="F72" s="164">
        <v>3.5</v>
      </c>
      <c r="G72" s="164"/>
      <c r="H72" s="164"/>
      <c r="I72" s="166">
        <v>13.5</v>
      </c>
      <c r="J72" s="163">
        <f t="shared" si="38"/>
        <v>4.0909090909090908</v>
      </c>
      <c r="K72" s="167">
        <v>450</v>
      </c>
      <c r="L72" s="168">
        <f t="shared" si="39"/>
        <v>535.37946428571422</v>
      </c>
      <c r="M72" s="169">
        <f t="shared" si="40"/>
        <v>2190.1887175324673</v>
      </c>
      <c r="N72" s="170"/>
      <c r="O72" s="171"/>
      <c r="P72" s="172">
        <f t="shared" si="41"/>
        <v>0</v>
      </c>
      <c r="Q72" s="168">
        <v>3</v>
      </c>
      <c r="R72" s="168">
        <f t="shared" si="42"/>
        <v>301.36363636363637</v>
      </c>
      <c r="S72" s="163">
        <v>54</v>
      </c>
      <c r="T72" s="168"/>
      <c r="U72" s="173"/>
      <c r="V72" s="178">
        <f t="shared" si="43"/>
        <v>105</v>
      </c>
      <c r="W72" s="169">
        <f t="shared" si="44"/>
        <v>1252.1814273430784</v>
      </c>
      <c r="X72" s="174"/>
      <c r="Y72" s="169">
        <f t="shared" si="45"/>
        <v>2491.5523538961038</v>
      </c>
      <c r="Z72" s="175">
        <f t="shared" si="46"/>
        <v>0.82392604295506078</v>
      </c>
      <c r="AA72" s="176">
        <f t="shared" si="47"/>
        <v>4.9651411384410142</v>
      </c>
      <c r="AB72" s="169">
        <f t="shared" si="48"/>
        <v>3743.733781239182</v>
      </c>
      <c r="AC72" s="175">
        <f t="shared" si="49"/>
        <v>1.2380072027907347</v>
      </c>
      <c r="AD72" s="176">
        <f t="shared" si="50"/>
        <v>3.304430767193681</v>
      </c>
      <c r="AE72" s="177"/>
      <c r="AF72" s="169"/>
      <c r="AG72" s="176"/>
      <c r="AH72" s="113"/>
      <c r="AI72" s="117"/>
      <c r="AJ72" s="13">
        <f t="shared" si="51"/>
        <v>1021.6530640310259</v>
      </c>
      <c r="AK72" s="13">
        <v>1100</v>
      </c>
      <c r="AL72" s="244">
        <f t="shared" si="52"/>
        <v>1.2770663300387823</v>
      </c>
    </row>
    <row r="73" spans="1:38" ht="18" customHeight="1" x14ac:dyDescent="0.25">
      <c r="A73" s="161" t="s">
        <v>109</v>
      </c>
      <c r="B73" s="162"/>
      <c r="C73" s="144">
        <v>24</v>
      </c>
      <c r="D73" s="163">
        <v>55</v>
      </c>
      <c r="E73" s="164">
        <f t="shared" si="2"/>
        <v>12.599789815610968</v>
      </c>
      <c r="F73" s="164">
        <v>3.5</v>
      </c>
      <c r="G73" s="164"/>
      <c r="H73" s="164"/>
      <c r="I73" s="166">
        <v>13.5</v>
      </c>
      <c r="J73" s="163">
        <f t="shared" si="38"/>
        <v>4.0909090909090908</v>
      </c>
      <c r="K73" s="167">
        <v>450</v>
      </c>
      <c r="L73" s="168">
        <f t="shared" si="39"/>
        <v>535.37946428571422</v>
      </c>
      <c r="M73" s="169">
        <f t="shared" si="40"/>
        <v>2190.1887175324673</v>
      </c>
      <c r="N73" s="170"/>
      <c r="O73" s="171"/>
      <c r="P73" s="172">
        <f t="shared" si="41"/>
        <v>0</v>
      </c>
      <c r="Q73" s="168">
        <v>3</v>
      </c>
      <c r="R73" s="168">
        <f t="shared" si="42"/>
        <v>301.36363636363637</v>
      </c>
      <c r="S73" s="163">
        <v>55</v>
      </c>
      <c r="T73" s="168"/>
      <c r="U73" s="173"/>
      <c r="V73" s="178">
        <f t="shared" si="43"/>
        <v>105</v>
      </c>
      <c r="W73" s="169">
        <f t="shared" si="44"/>
        <v>1252.1814273430784</v>
      </c>
      <c r="X73" s="174"/>
      <c r="Y73" s="169">
        <f t="shared" si="45"/>
        <v>2491.5523538961038</v>
      </c>
      <c r="Z73" s="175">
        <f t="shared" si="46"/>
        <v>0.82392604295506078</v>
      </c>
      <c r="AA73" s="176">
        <f t="shared" si="47"/>
        <v>4.9651411384410142</v>
      </c>
      <c r="AB73" s="169">
        <f t="shared" si="48"/>
        <v>3743.733781239182</v>
      </c>
      <c r="AC73" s="175">
        <f t="shared" si="49"/>
        <v>1.2380072027907347</v>
      </c>
      <c r="AD73" s="176">
        <f t="shared" si="50"/>
        <v>3.304430767193681</v>
      </c>
      <c r="AE73" s="177"/>
      <c r="AF73" s="169"/>
      <c r="AG73" s="176"/>
      <c r="AH73" s="113"/>
      <c r="AI73" s="117"/>
      <c r="AJ73" s="13">
        <f t="shared" si="51"/>
        <v>1021.6530640310259</v>
      </c>
      <c r="AK73" s="13">
        <v>1100</v>
      </c>
      <c r="AL73" s="244">
        <f t="shared" si="52"/>
        <v>1.2770663300387823</v>
      </c>
    </row>
    <row r="74" spans="1:38" ht="18" customHeight="1" x14ac:dyDescent="0.25">
      <c r="A74" s="161" t="s">
        <v>110</v>
      </c>
      <c r="B74" s="162"/>
      <c r="C74" s="144">
        <v>24</v>
      </c>
      <c r="D74" s="163">
        <v>55</v>
      </c>
      <c r="E74" s="164">
        <f t="shared" si="2"/>
        <v>12.599789815610968</v>
      </c>
      <c r="F74" s="164">
        <v>3.5</v>
      </c>
      <c r="G74" s="164"/>
      <c r="H74" s="164"/>
      <c r="I74" s="166">
        <v>11</v>
      </c>
      <c r="J74" s="163">
        <f t="shared" si="38"/>
        <v>3.3333333333333335</v>
      </c>
      <c r="K74" s="167">
        <v>450</v>
      </c>
      <c r="L74" s="168">
        <f t="shared" si="39"/>
        <v>535.37946428571422</v>
      </c>
      <c r="M74" s="169">
        <f t="shared" si="40"/>
        <v>1784.5982142857142</v>
      </c>
      <c r="N74" s="170"/>
      <c r="O74" s="171"/>
      <c r="P74" s="172">
        <f t="shared" si="41"/>
        <v>0</v>
      </c>
      <c r="Q74" s="168">
        <v>4</v>
      </c>
      <c r="R74" s="168">
        <f t="shared" si="42"/>
        <v>447.77777777777783</v>
      </c>
      <c r="S74" s="163">
        <v>56</v>
      </c>
      <c r="T74" s="168"/>
      <c r="U74" s="173"/>
      <c r="V74" s="178">
        <f t="shared" si="43"/>
        <v>140</v>
      </c>
      <c r="W74" s="169">
        <f t="shared" si="44"/>
        <v>1669.575236457438</v>
      </c>
      <c r="X74" s="174"/>
      <c r="Y74" s="169">
        <f t="shared" si="45"/>
        <v>2232.375992063492</v>
      </c>
      <c r="Z74" s="175">
        <f t="shared" si="46"/>
        <v>0.73821957409507011</v>
      </c>
      <c r="AA74" s="176">
        <f t="shared" si="47"/>
        <v>4.5153683948565373</v>
      </c>
      <c r="AB74" s="169">
        <f t="shared" si="48"/>
        <v>3901.9512285209298</v>
      </c>
      <c r="AC74" s="175">
        <f t="shared" si="49"/>
        <v>1.2903277872093022</v>
      </c>
      <c r="AD74" s="176">
        <f t="shared" si="50"/>
        <v>2.5833229094001045</v>
      </c>
      <c r="AE74" s="177"/>
      <c r="AF74" s="169"/>
      <c r="AG74" s="176"/>
      <c r="AH74" s="113"/>
      <c r="AI74" s="117"/>
      <c r="AJ74" s="13">
        <f t="shared" si="51"/>
        <v>1064.8301031166045</v>
      </c>
      <c r="AK74" s="13">
        <v>1100</v>
      </c>
      <c r="AL74" s="244">
        <f t="shared" si="52"/>
        <v>1.3310376288957557</v>
      </c>
    </row>
    <row r="75" spans="1:38" ht="18" customHeight="1" x14ac:dyDescent="0.25">
      <c r="A75" s="161" t="s">
        <v>111</v>
      </c>
      <c r="B75" s="162"/>
      <c r="C75" s="144">
        <v>24</v>
      </c>
      <c r="D75" s="163">
        <v>55</v>
      </c>
      <c r="E75" s="164">
        <f t="shared" si="2"/>
        <v>12.599789815610968</v>
      </c>
      <c r="F75" s="164">
        <v>3.5</v>
      </c>
      <c r="G75" s="164"/>
      <c r="H75" s="164"/>
      <c r="I75" s="166">
        <v>27.5</v>
      </c>
      <c r="J75" s="163">
        <f t="shared" si="38"/>
        <v>8.3333333333333339</v>
      </c>
      <c r="K75" s="167">
        <v>450</v>
      </c>
      <c r="L75" s="168">
        <f t="shared" si="39"/>
        <v>535.37946428571422</v>
      </c>
      <c r="M75" s="169">
        <f t="shared" si="40"/>
        <v>4461.4955357142853</v>
      </c>
      <c r="N75" s="170"/>
      <c r="O75" s="171"/>
      <c r="P75" s="172">
        <f t="shared" si="41"/>
        <v>0</v>
      </c>
      <c r="Q75" s="168">
        <v>16</v>
      </c>
      <c r="R75" s="168">
        <f t="shared" si="42"/>
        <v>1899.4444444444443</v>
      </c>
      <c r="S75" s="163">
        <v>57</v>
      </c>
      <c r="T75" s="168"/>
      <c r="U75" s="173"/>
      <c r="V75" s="178">
        <f t="shared" si="43"/>
        <v>560</v>
      </c>
      <c r="W75" s="169">
        <f t="shared" si="44"/>
        <v>6678.300945829752</v>
      </c>
      <c r="X75" s="174"/>
      <c r="Y75" s="169">
        <f t="shared" si="45"/>
        <v>6360.9399801587297</v>
      </c>
      <c r="Z75" s="175">
        <f t="shared" si="46"/>
        <v>2.1034854431741832</v>
      </c>
      <c r="AA75" s="176">
        <f t="shared" si="47"/>
        <v>3.9616786321840385</v>
      </c>
      <c r="AB75" s="169">
        <f t="shared" si="48"/>
        <v>13039.240925988481</v>
      </c>
      <c r="AC75" s="175">
        <f t="shared" si="49"/>
        <v>4.3119182956311111</v>
      </c>
      <c r="AD75" s="176">
        <f t="shared" si="50"/>
        <v>1.93262783800351</v>
      </c>
      <c r="AE75" s="177"/>
      <c r="AF75" s="169"/>
      <c r="AG75" s="176"/>
      <c r="AH75" s="113"/>
      <c r="AI75" s="117"/>
      <c r="AJ75" s="13">
        <f t="shared" si="51"/>
        <v>3558.3674542866183</v>
      </c>
      <c r="AK75" s="13">
        <v>4500</v>
      </c>
      <c r="AL75" s="244">
        <f t="shared" si="52"/>
        <v>4.447959317858273</v>
      </c>
    </row>
    <row r="76" spans="1:38" ht="42.75" x14ac:dyDescent="0.25">
      <c r="A76" s="219" t="s">
        <v>112</v>
      </c>
      <c r="B76" s="162"/>
      <c r="C76" s="224">
        <v>24</v>
      </c>
      <c r="D76" s="208">
        <v>55</v>
      </c>
      <c r="E76" s="204">
        <f t="shared" si="2"/>
        <v>12.599789815610968</v>
      </c>
      <c r="F76" s="204">
        <v>3.5</v>
      </c>
      <c r="G76" s="204"/>
      <c r="H76" s="204"/>
      <c r="I76" s="225">
        <v>256.2</v>
      </c>
      <c r="J76" s="208">
        <f t="shared" si="38"/>
        <v>77.63636363636364</v>
      </c>
      <c r="K76" s="226">
        <v>450</v>
      </c>
      <c r="L76" s="209">
        <f t="shared" si="39"/>
        <v>535.37946428571422</v>
      </c>
      <c r="M76" s="227">
        <f t="shared" si="40"/>
        <v>41564.914772727272</v>
      </c>
      <c r="N76" s="205"/>
      <c r="O76" s="206"/>
      <c r="P76" s="207">
        <f t="shared" si="41"/>
        <v>0</v>
      </c>
      <c r="Q76" s="209">
        <f>7+7+9+7+18</f>
        <v>48</v>
      </c>
      <c r="R76" s="209">
        <f t="shared" si="42"/>
        <v>4557.878787878788</v>
      </c>
      <c r="S76" s="208">
        <v>58</v>
      </c>
      <c r="T76" s="209"/>
      <c r="U76" s="228"/>
      <c r="V76" s="229">
        <f t="shared" si="43"/>
        <v>1680</v>
      </c>
      <c r="W76" s="227">
        <f t="shared" si="44"/>
        <v>20034.902837489255</v>
      </c>
      <c r="X76" s="230"/>
      <c r="Y76" s="227">
        <f t="shared" si="45"/>
        <v>46122.793560606064</v>
      </c>
      <c r="Z76" s="231">
        <f t="shared" si="46"/>
        <v>15.252246547819466</v>
      </c>
      <c r="AA76" s="232">
        <f t="shared" si="47"/>
        <v>5.0901592360807273</v>
      </c>
      <c r="AB76" s="227">
        <f t="shared" si="48"/>
        <v>66157.696398095315</v>
      </c>
      <c r="AC76" s="231">
        <f t="shared" si="49"/>
        <v>21.877545105190251</v>
      </c>
      <c r="AD76" s="232">
        <f t="shared" si="50"/>
        <v>3.5486780286854538</v>
      </c>
      <c r="AE76" s="177"/>
      <c r="AF76" s="169"/>
      <c r="AG76" s="176"/>
      <c r="AH76" s="113"/>
      <c r="AI76" s="117"/>
      <c r="AJ76" s="13">
        <f t="shared" si="51"/>
        <v>18054.225322607203</v>
      </c>
      <c r="AK76" s="54" t="s">
        <v>122</v>
      </c>
      <c r="AL76" s="244">
        <f t="shared" si="52"/>
        <v>22.567781653259004</v>
      </c>
    </row>
    <row r="77" spans="1:38" ht="18" customHeight="1" x14ac:dyDescent="0.25">
      <c r="A77" s="161" t="s">
        <v>113</v>
      </c>
      <c r="B77" s="162"/>
      <c r="C77" s="144">
        <v>24</v>
      </c>
      <c r="D77" s="163">
        <v>55</v>
      </c>
      <c r="E77" s="164">
        <f t="shared" si="2"/>
        <v>12.599789815610968</v>
      </c>
      <c r="F77" s="164">
        <v>3.5</v>
      </c>
      <c r="G77" s="164"/>
      <c r="H77" s="164"/>
      <c r="I77" s="166">
        <v>28.3</v>
      </c>
      <c r="J77" s="163">
        <f t="shared" si="38"/>
        <v>8.5757575757575761</v>
      </c>
      <c r="K77" s="167">
        <v>450</v>
      </c>
      <c r="L77" s="168">
        <f t="shared" si="39"/>
        <v>535.37946428571422</v>
      </c>
      <c r="M77" s="169">
        <f t="shared" si="40"/>
        <v>4591.2844967532465</v>
      </c>
      <c r="N77" s="170"/>
      <c r="O77" s="171"/>
      <c r="P77" s="172">
        <f t="shared" si="41"/>
        <v>0</v>
      </c>
      <c r="Q77" s="168">
        <v>7</v>
      </c>
      <c r="R77" s="168">
        <f t="shared" si="42"/>
        <v>724.19191919191917</v>
      </c>
      <c r="S77" s="163">
        <v>59</v>
      </c>
      <c r="T77" s="168"/>
      <c r="U77" s="173"/>
      <c r="V77" s="178">
        <f t="shared" si="43"/>
        <v>245</v>
      </c>
      <c r="W77" s="169">
        <f t="shared" si="44"/>
        <v>2921.7566638005164</v>
      </c>
      <c r="X77" s="174"/>
      <c r="Y77" s="169">
        <f t="shared" si="45"/>
        <v>5315.4764159451661</v>
      </c>
      <c r="Z77" s="175">
        <f t="shared" si="46"/>
        <v>1.7577633650612321</v>
      </c>
      <c r="AA77" s="176">
        <f t="shared" si="47"/>
        <v>4.8787895721440515</v>
      </c>
      <c r="AB77" s="169">
        <f t="shared" si="48"/>
        <v>8237.2330797456816</v>
      </c>
      <c r="AC77" s="175">
        <f t="shared" si="49"/>
        <v>2.7239527380111381</v>
      </c>
      <c r="AD77" s="176">
        <f t="shared" si="50"/>
        <v>3.1482769345032997</v>
      </c>
      <c r="AE77" s="177"/>
      <c r="AF77" s="169"/>
      <c r="AG77" s="176"/>
      <c r="AH77" s="113"/>
      <c r="AI77" s="117"/>
      <c r="AJ77" s="13">
        <f t="shared" si="51"/>
        <v>2247.9147575163115</v>
      </c>
      <c r="AK77" s="13">
        <v>2300</v>
      </c>
      <c r="AL77" s="244">
        <f t="shared" si="52"/>
        <v>2.8098934468953893</v>
      </c>
    </row>
    <row r="78" spans="1:38" ht="18" customHeight="1" x14ac:dyDescent="0.25">
      <c r="A78" s="161" t="s">
        <v>114</v>
      </c>
      <c r="B78" s="162"/>
      <c r="C78" s="144">
        <v>24</v>
      </c>
      <c r="D78" s="163">
        <v>55</v>
      </c>
      <c r="E78" s="164">
        <f t="shared" si="2"/>
        <v>12.599789815610968</v>
      </c>
      <c r="F78" s="164">
        <v>3.5</v>
      </c>
      <c r="G78" s="164"/>
      <c r="H78" s="164"/>
      <c r="I78" s="166">
        <v>15</v>
      </c>
      <c r="J78" s="163">
        <f t="shared" si="38"/>
        <v>4.5454545454545459</v>
      </c>
      <c r="K78" s="167">
        <v>450</v>
      </c>
      <c r="L78" s="168">
        <f t="shared" si="39"/>
        <v>535.37946428571422</v>
      </c>
      <c r="M78" s="169">
        <f t="shared" si="40"/>
        <v>2433.5430194805194</v>
      </c>
      <c r="N78" s="170"/>
      <c r="O78" s="171"/>
      <c r="P78" s="172">
        <f t="shared" si="41"/>
        <v>0</v>
      </c>
      <c r="Q78" s="168">
        <v>3</v>
      </c>
      <c r="R78" s="168">
        <f t="shared" si="42"/>
        <v>291.5151515151515</v>
      </c>
      <c r="S78" s="163">
        <v>60</v>
      </c>
      <c r="T78" s="168"/>
      <c r="U78" s="173"/>
      <c r="V78" s="178">
        <f t="shared" si="43"/>
        <v>105</v>
      </c>
      <c r="W78" s="169">
        <f t="shared" si="44"/>
        <v>1252.1814273430784</v>
      </c>
      <c r="X78" s="174"/>
      <c r="Y78" s="169">
        <f t="shared" si="45"/>
        <v>2725.0581709956709</v>
      </c>
      <c r="Z78" s="175">
        <f t="shared" si="46"/>
        <v>0.90114357506470599</v>
      </c>
      <c r="AA78" s="176">
        <f t="shared" si="47"/>
        <v>5.0440958258268251</v>
      </c>
      <c r="AB78" s="169">
        <f t="shared" si="48"/>
        <v>3977.2395983387496</v>
      </c>
      <c r="AC78" s="175">
        <f t="shared" si="49"/>
        <v>1.3152247349003801</v>
      </c>
      <c r="AD78" s="176">
        <f t="shared" si="50"/>
        <v>3.4560287872010216</v>
      </c>
      <c r="AE78" s="177"/>
      <c r="AF78" s="169"/>
      <c r="AG78" s="176"/>
      <c r="AH78" s="113"/>
      <c r="AI78" s="117"/>
      <c r="AJ78" s="13">
        <f t="shared" si="51"/>
        <v>1085.3760602291898</v>
      </c>
      <c r="AK78" s="13">
        <v>1100</v>
      </c>
      <c r="AL78" s="244">
        <f t="shared" si="52"/>
        <v>1.3567200752864872</v>
      </c>
    </row>
    <row r="79" spans="1:38" ht="18" customHeight="1" x14ac:dyDescent="0.25">
      <c r="A79" s="161" t="s">
        <v>115</v>
      </c>
      <c r="B79" s="162"/>
      <c r="C79" s="144">
        <v>24</v>
      </c>
      <c r="D79" s="163">
        <v>55</v>
      </c>
      <c r="E79" s="164">
        <f t="shared" si="2"/>
        <v>12.599789815610968</v>
      </c>
      <c r="F79" s="164">
        <v>3.5</v>
      </c>
      <c r="G79" s="164"/>
      <c r="H79" s="164"/>
      <c r="I79" s="166">
        <v>14.1</v>
      </c>
      <c r="J79" s="163">
        <f t="shared" si="38"/>
        <v>4.2727272727272725</v>
      </c>
      <c r="K79" s="167">
        <v>450</v>
      </c>
      <c r="L79" s="168">
        <f t="shared" si="39"/>
        <v>535.37946428571422</v>
      </c>
      <c r="M79" s="169">
        <f t="shared" si="40"/>
        <v>2287.5304383116877</v>
      </c>
      <c r="N79" s="170"/>
      <c r="O79" s="171"/>
      <c r="P79" s="172">
        <f t="shared" si="41"/>
        <v>0</v>
      </c>
      <c r="Q79" s="168">
        <v>3</v>
      </c>
      <c r="R79" s="168">
        <f t="shared" si="42"/>
        <v>297.42424242424244</v>
      </c>
      <c r="S79" s="163">
        <v>61</v>
      </c>
      <c r="T79" s="168"/>
      <c r="U79" s="173"/>
      <c r="V79" s="178">
        <f t="shared" si="43"/>
        <v>105</v>
      </c>
      <c r="W79" s="169">
        <f t="shared" si="44"/>
        <v>1252.1814273430784</v>
      </c>
      <c r="X79" s="174"/>
      <c r="Y79" s="169">
        <f t="shared" si="45"/>
        <v>2584.9546807359302</v>
      </c>
      <c r="Z79" s="175">
        <f t="shared" si="46"/>
        <v>0.85481305579891875</v>
      </c>
      <c r="AA79" s="176">
        <f t="shared" si="47"/>
        <v>4.9984347381474299</v>
      </c>
      <c r="AB79" s="169">
        <f t="shared" si="48"/>
        <v>3837.1361080790084</v>
      </c>
      <c r="AC79" s="175">
        <f t="shared" si="49"/>
        <v>1.2688942156345928</v>
      </c>
      <c r="AD79" s="176">
        <f t="shared" si="50"/>
        <v>3.3672840651972065</v>
      </c>
      <c r="AE79" s="177"/>
      <c r="AF79" s="169"/>
      <c r="AG79" s="176"/>
      <c r="AH79" s="113"/>
      <c r="AI79" s="117"/>
      <c r="AJ79" s="13">
        <f t="shared" si="51"/>
        <v>1047.1422625102914</v>
      </c>
      <c r="AK79" s="13">
        <v>1100</v>
      </c>
      <c r="AL79" s="244">
        <f t="shared" si="52"/>
        <v>1.3089278281378642</v>
      </c>
    </row>
    <row r="80" spans="1:38" ht="18" customHeight="1" x14ac:dyDescent="0.25">
      <c r="A80" s="161" t="s">
        <v>116</v>
      </c>
      <c r="B80" s="162"/>
      <c r="C80" s="144">
        <v>24</v>
      </c>
      <c r="D80" s="163">
        <v>55</v>
      </c>
      <c r="E80" s="164">
        <f t="shared" si="2"/>
        <v>12.599789815610968</v>
      </c>
      <c r="F80" s="164">
        <v>3.5</v>
      </c>
      <c r="G80" s="164"/>
      <c r="H80" s="164"/>
      <c r="I80" s="166">
        <v>71.150000000000006</v>
      </c>
      <c r="J80" s="163">
        <f t="shared" si="38"/>
        <v>21.560606060606062</v>
      </c>
      <c r="K80" s="167">
        <v>450</v>
      </c>
      <c r="L80" s="168">
        <f t="shared" si="39"/>
        <v>535.37946428571422</v>
      </c>
      <c r="M80" s="169">
        <f t="shared" si="40"/>
        <v>11543.105722402597</v>
      </c>
      <c r="N80" s="170"/>
      <c r="O80" s="171"/>
      <c r="P80" s="172">
        <f t="shared" si="41"/>
        <v>0</v>
      </c>
      <c r="Q80" s="168">
        <v>15</v>
      </c>
      <c r="R80" s="168">
        <f t="shared" si="42"/>
        <v>1482.8535353535353</v>
      </c>
      <c r="S80" s="163">
        <v>62</v>
      </c>
      <c r="T80" s="168"/>
      <c r="U80" s="173"/>
      <c r="V80" s="178">
        <f t="shared" si="43"/>
        <v>525</v>
      </c>
      <c r="W80" s="169">
        <f t="shared" si="44"/>
        <v>6260.907136715392</v>
      </c>
      <c r="X80" s="174"/>
      <c r="Y80" s="169">
        <f t="shared" si="45"/>
        <v>13025.959257756133</v>
      </c>
      <c r="Z80" s="175">
        <f t="shared" si="46"/>
        <v>4.3075262095754407</v>
      </c>
      <c r="AA80" s="176">
        <f t="shared" si="47"/>
        <v>5.0053336907568404</v>
      </c>
      <c r="AB80" s="169">
        <f t="shared" si="48"/>
        <v>19286.866394471523</v>
      </c>
      <c r="AC80" s="175">
        <f>AB80/3024+0.8</f>
        <v>7.1779320087538103</v>
      </c>
      <c r="AD80" s="176">
        <f t="shared" si="50"/>
        <v>3.0037350638473499</v>
      </c>
      <c r="AE80" s="177"/>
      <c r="AF80" s="169"/>
      <c r="AG80" s="176"/>
      <c r="AH80" s="113"/>
      <c r="AI80" s="117"/>
      <c r="AJ80" s="13">
        <f t="shared" si="51"/>
        <v>5923.5166109039947</v>
      </c>
      <c r="AK80" s="13">
        <v>6000</v>
      </c>
      <c r="AL80" s="244">
        <f t="shared" si="52"/>
        <v>7.4043957636299931</v>
      </c>
    </row>
    <row r="81" spans="1:38" ht="18" customHeight="1" x14ac:dyDescent="0.25">
      <c r="A81" s="161" t="s">
        <v>117</v>
      </c>
      <c r="B81" s="162"/>
      <c r="C81" s="144">
        <v>24</v>
      </c>
      <c r="D81" s="163">
        <v>55</v>
      </c>
      <c r="E81" s="164">
        <f t="shared" si="2"/>
        <v>12.599789815610968</v>
      </c>
      <c r="F81" s="164">
        <v>3.5</v>
      </c>
      <c r="G81" s="164"/>
      <c r="H81" s="164"/>
      <c r="I81" s="166">
        <v>14.9</v>
      </c>
      <c r="J81" s="163">
        <f t="shared" si="38"/>
        <v>4.5151515151515156</v>
      </c>
      <c r="K81" s="167">
        <v>450</v>
      </c>
      <c r="L81" s="168">
        <f t="shared" si="39"/>
        <v>535.37946428571422</v>
      </c>
      <c r="M81" s="169">
        <f t="shared" si="40"/>
        <v>2417.3193993506493</v>
      </c>
      <c r="N81" s="170"/>
      <c r="O81" s="171"/>
      <c r="P81" s="172">
        <f t="shared" si="41"/>
        <v>0</v>
      </c>
      <c r="Q81" s="168">
        <v>4</v>
      </c>
      <c r="R81" s="168">
        <f t="shared" si="42"/>
        <v>422.17171717171715</v>
      </c>
      <c r="S81" s="163">
        <v>63</v>
      </c>
      <c r="T81" s="168"/>
      <c r="U81" s="173"/>
      <c r="V81" s="178">
        <f t="shared" si="43"/>
        <v>140</v>
      </c>
      <c r="W81" s="169">
        <f t="shared" si="44"/>
        <v>1669.575236457438</v>
      </c>
      <c r="X81" s="174"/>
      <c r="Y81" s="169">
        <f t="shared" si="45"/>
        <v>2839.4911165223666</v>
      </c>
      <c r="Z81" s="175">
        <f t="shared" si="46"/>
        <v>0.93898515758014767</v>
      </c>
      <c r="AA81" s="176">
        <f t="shared" si="47"/>
        <v>4.8085440741017482</v>
      </c>
      <c r="AB81" s="169">
        <f t="shared" si="48"/>
        <v>4509.0663529798039</v>
      </c>
      <c r="AC81" s="175">
        <f t="shared" si="49"/>
        <v>1.4910933706943796</v>
      </c>
      <c r="AD81" s="176">
        <f t="shared" si="50"/>
        <v>3.0280810067909281</v>
      </c>
      <c r="AE81" s="177"/>
      <c r="AF81" s="169"/>
      <c r="AG81" s="176"/>
      <c r="AH81" s="113"/>
      <c r="AI81" s="117"/>
      <c r="AJ81" s="13">
        <f t="shared" si="51"/>
        <v>1230.5098932318299</v>
      </c>
      <c r="AK81" s="13">
        <v>1450</v>
      </c>
      <c r="AL81" s="244">
        <f t="shared" si="52"/>
        <v>1.5381373665397873</v>
      </c>
    </row>
    <row r="82" spans="1:38" ht="18" hidden="1" customHeight="1" x14ac:dyDescent="0.25">
      <c r="A82" s="161"/>
      <c r="B82" s="162"/>
      <c r="C82" s="144">
        <v>24</v>
      </c>
      <c r="D82" s="163">
        <v>55</v>
      </c>
      <c r="E82" s="164">
        <f t="shared" si="2"/>
        <v>12.599789815610968</v>
      </c>
      <c r="F82" s="164"/>
      <c r="G82" s="164"/>
      <c r="H82" s="164"/>
      <c r="I82" s="166"/>
      <c r="J82" s="163">
        <f t="shared" si="17"/>
        <v>0</v>
      </c>
      <c r="K82" s="167">
        <v>451</v>
      </c>
      <c r="L82" s="168">
        <f t="shared" ref="L82" si="53">(K82/2*F82/3.2+K82/2*($A$3-C82)/($A$3-26))</f>
        <v>289.92857142857144</v>
      </c>
      <c r="M82" s="169">
        <f t="shared" ref="M82" si="54">J82*L82</f>
        <v>0</v>
      </c>
      <c r="N82" s="170"/>
      <c r="O82" s="171"/>
      <c r="P82" s="172">
        <f t="shared" ref="P82" si="55">O82*N82</f>
        <v>0</v>
      </c>
      <c r="Q82" s="168"/>
      <c r="R82" s="168">
        <f t="shared" ref="R82" si="56">IF(Q82&gt;0,(Q82-(J82/6))*130,0)</f>
        <v>0</v>
      </c>
      <c r="S82" s="163"/>
      <c r="T82" s="168"/>
      <c r="U82" s="173"/>
      <c r="V82" s="178">
        <f t="shared" ref="V82" si="57">Q82*35</f>
        <v>0</v>
      </c>
      <c r="W82" s="169">
        <f t="shared" ref="W82" si="58">72*V82/60*(D$3-E82)</f>
        <v>0</v>
      </c>
      <c r="X82" s="174"/>
      <c r="Y82" s="169">
        <f t="shared" ref="Y82" si="59">U82+R82+P82+M82</f>
        <v>0</v>
      </c>
      <c r="Z82" s="175">
        <f t="shared" ref="Z82" si="60">Y82/3024</f>
        <v>0</v>
      </c>
      <c r="AA82" s="176" t="e">
        <f t="shared" ref="AA82" si="61">$J82/Z82</f>
        <v>#DIV/0!</v>
      </c>
      <c r="AB82" s="169">
        <f t="shared" ref="AB82" si="62">W82+U82+R82+P82+M82</f>
        <v>0</v>
      </c>
      <c r="AC82" s="175">
        <f t="shared" ref="AC82" si="63">AB82/3024</f>
        <v>0</v>
      </c>
      <c r="AD82" s="176" t="e">
        <f t="shared" ref="AD82" si="64">$J82/AC82</f>
        <v>#DIV/0!</v>
      </c>
      <c r="AE82" s="177"/>
      <c r="AF82" s="169"/>
      <c r="AG82" s="176"/>
      <c r="AH82" s="113"/>
      <c r="AI82" s="117"/>
    </row>
    <row r="83" spans="1:38" ht="18" hidden="1" customHeight="1" x14ac:dyDescent="0.25">
      <c r="A83" s="161"/>
      <c r="B83" s="162"/>
      <c r="C83" s="144">
        <v>24</v>
      </c>
      <c r="D83" s="163">
        <v>55</v>
      </c>
      <c r="E83" s="164">
        <f t="shared" si="2"/>
        <v>12.599789815610968</v>
      </c>
      <c r="F83" s="164"/>
      <c r="G83" s="164"/>
      <c r="H83" s="164"/>
      <c r="I83" s="166"/>
      <c r="J83" s="163">
        <f t="shared" si="17"/>
        <v>0</v>
      </c>
      <c r="K83" s="167">
        <v>450</v>
      </c>
      <c r="L83" s="168">
        <f t="shared" ref="L83" si="65">(K83/2*F83/3.2+K83/2*($A$3-C83)/($A$3-26))</f>
        <v>289.28571428571428</v>
      </c>
      <c r="M83" s="169">
        <f t="shared" si="5"/>
        <v>0</v>
      </c>
      <c r="N83" s="170"/>
      <c r="O83" s="171"/>
      <c r="P83" s="172">
        <f t="shared" si="18"/>
        <v>0</v>
      </c>
      <c r="Q83" s="168"/>
      <c r="R83" s="168">
        <f t="shared" si="6"/>
        <v>0</v>
      </c>
      <c r="S83" s="163"/>
      <c r="T83" s="168"/>
      <c r="U83" s="173"/>
      <c r="V83" s="178">
        <f t="shared" si="20"/>
        <v>0</v>
      </c>
      <c r="W83" s="169">
        <f t="shared" si="8"/>
        <v>0</v>
      </c>
      <c r="X83" s="174"/>
      <c r="Y83" s="169">
        <f t="shared" si="9"/>
        <v>0</v>
      </c>
      <c r="Z83" s="175">
        <f t="shared" si="10"/>
        <v>0</v>
      </c>
      <c r="AA83" s="176" t="e">
        <f t="shared" si="11"/>
        <v>#DIV/0!</v>
      </c>
      <c r="AB83" s="169">
        <f t="shared" si="12"/>
        <v>0</v>
      </c>
      <c r="AC83" s="175">
        <f t="shared" si="13"/>
        <v>0</v>
      </c>
      <c r="AD83" s="176" t="e">
        <f t="shared" si="14"/>
        <v>#DIV/0!</v>
      </c>
      <c r="AE83" s="177"/>
      <c r="AF83" s="169"/>
      <c r="AG83" s="176"/>
      <c r="AH83" s="113"/>
      <c r="AI83" s="117"/>
    </row>
    <row r="84" spans="1:38" ht="18" hidden="1" customHeight="1" x14ac:dyDescent="0.25">
      <c r="A84" s="161"/>
      <c r="B84" s="162"/>
      <c r="C84" s="144">
        <v>24</v>
      </c>
      <c r="D84" s="163">
        <v>55</v>
      </c>
      <c r="E84" s="164">
        <f t="shared" si="2"/>
        <v>12.599789815610968</v>
      </c>
      <c r="F84" s="164"/>
      <c r="G84" s="164"/>
      <c r="H84" s="164"/>
      <c r="I84" s="166"/>
      <c r="J84" s="163">
        <f t="shared" si="17"/>
        <v>0</v>
      </c>
      <c r="K84" s="167">
        <v>450</v>
      </c>
      <c r="L84" s="168">
        <f>(K84/2*F84/3.2+K84/2*($A$3-C84)/($A$3-26))</f>
        <v>289.28571428571428</v>
      </c>
      <c r="M84" s="169">
        <f t="shared" si="5"/>
        <v>0</v>
      </c>
      <c r="N84" s="170"/>
      <c r="O84" s="171"/>
      <c r="P84" s="172">
        <f>O84*N84</f>
        <v>0</v>
      </c>
      <c r="Q84" s="168"/>
      <c r="R84" s="168">
        <f>IF(Q84&gt;0,(Q84-(J84/6))*130,0)</f>
        <v>0</v>
      </c>
      <c r="S84" s="163"/>
      <c r="T84" s="168"/>
      <c r="U84" s="173"/>
      <c r="V84" s="178">
        <f t="shared" si="20"/>
        <v>0</v>
      </c>
      <c r="W84" s="169">
        <f t="shared" si="8"/>
        <v>0</v>
      </c>
      <c r="X84" s="174"/>
      <c r="Y84" s="169">
        <f t="shared" si="9"/>
        <v>0</v>
      </c>
      <c r="Z84" s="175">
        <f t="shared" si="10"/>
        <v>0</v>
      </c>
      <c r="AA84" s="176" t="e">
        <f t="shared" si="11"/>
        <v>#DIV/0!</v>
      </c>
      <c r="AB84" s="169">
        <f t="shared" si="12"/>
        <v>0</v>
      </c>
      <c r="AC84" s="175">
        <f t="shared" si="13"/>
        <v>0</v>
      </c>
      <c r="AD84" s="176" t="e">
        <f t="shared" si="14"/>
        <v>#DIV/0!</v>
      </c>
      <c r="AE84" s="177"/>
      <c r="AF84" s="169"/>
      <c r="AG84" s="176"/>
      <c r="AH84" s="113"/>
      <c r="AI84" s="117"/>
    </row>
    <row r="85" spans="1:38" ht="18" hidden="1" customHeight="1" x14ac:dyDescent="0.25">
      <c r="A85" s="161"/>
      <c r="B85" s="162"/>
      <c r="C85" s="144">
        <v>24</v>
      </c>
      <c r="D85" s="163">
        <v>55</v>
      </c>
      <c r="E85" s="164">
        <f t="shared" si="2"/>
        <v>12.599789815610968</v>
      </c>
      <c r="F85" s="164"/>
      <c r="G85" s="164"/>
      <c r="H85" s="164"/>
      <c r="I85" s="166"/>
      <c r="J85" s="163">
        <f t="shared" si="17"/>
        <v>0</v>
      </c>
      <c r="K85" s="167">
        <v>450</v>
      </c>
      <c r="L85" s="168">
        <f t="shared" ref="L85:L90" si="66">(K85/2*F85/3.2+K85/2*($A$3-C85)/($A$3-26))</f>
        <v>289.28571428571428</v>
      </c>
      <c r="M85" s="169">
        <f t="shared" si="5"/>
        <v>0</v>
      </c>
      <c r="N85" s="170"/>
      <c r="O85" s="171"/>
      <c r="P85" s="172">
        <f t="shared" ref="P85:P90" si="67">O85*N85</f>
        <v>0</v>
      </c>
      <c r="Q85" s="168"/>
      <c r="R85" s="168">
        <f t="shared" ref="R85" si="68">IF(Q85&gt;0,(Q85-(J85/6))*130,0)</f>
        <v>0</v>
      </c>
      <c r="S85" s="163"/>
      <c r="T85" s="168"/>
      <c r="U85" s="173"/>
      <c r="V85" s="178">
        <f t="shared" ref="V85" si="69">Q85*35</f>
        <v>0</v>
      </c>
      <c r="W85" s="169">
        <f t="shared" ref="W85" si="70">72*V85/60*(D$3-E85)</f>
        <v>0</v>
      </c>
      <c r="X85" s="174"/>
      <c r="Y85" s="169">
        <f t="shared" si="9"/>
        <v>0</v>
      </c>
      <c r="Z85" s="175">
        <f t="shared" si="10"/>
        <v>0</v>
      </c>
      <c r="AA85" s="176" t="e">
        <f t="shared" si="11"/>
        <v>#DIV/0!</v>
      </c>
      <c r="AB85" s="169">
        <f t="shared" si="12"/>
        <v>0</v>
      </c>
      <c r="AC85" s="175">
        <f t="shared" si="13"/>
        <v>0</v>
      </c>
      <c r="AD85" s="176" t="e">
        <f t="shared" si="14"/>
        <v>#DIV/0!</v>
      </c>
      <c r="AE85" s="177"/>
      <c r="AF85" s="169"/>
      <c r="AG85" s="176"/>
      <c r="AH85" s="113"/>
      <c r="AI85" s="117"/>
    </row>
    <row r="86" spans="1:38" ht="18" hidden="1" customHeight="1" x14ac:dyDescent="0.25">
      <c r="A86" s="161"/>
      <c r="B86" s="162"/>
      <c r="C86" s="144">
        <v>24</v>
      </c>
      <c r="D86" s="163">
        <v>55</v>
      </c>
      <c r="E86" s="164">
        <f t="shared" si="2"/>
        <v>12.599789815610968</v>
      </c>
      <c r="F86" s="164"/>
      <c r="G86" s="164"/>
      <c r="H86" s="164"/>
      <c r="I86" s="166"/>
      <c r="J86" s="163">
        <f t="shared" si="17"/>
        <v>0</v>
      </c>
      <c r="K86" s="167">
        <v>450</v>
      </c>
      <c r="L86" s="168">
        <f t="shared" si="66"/>
        <v>289.28571428571428</v>
      </c>
      <c r="M86" s="169">
        <f t="shared" si="5"/>
        <v>0</v>
      </c>
      <c r="N86" s="170"/>
      <c r="O86" s="171"/>
      <c r="P86" s="172">
        <f t="shared" si="67"/>
        <v>0</v>
      </c>
      <c r="Q86" s="168"/>
      <c r="R86" s="168">
        <f t="shared" ref="R86:R87" si="71">IF(Q86&gt;0,(Q86-(J86/6))*130,0)</f>
        <v>0</v>
      </c>
      <c r="S86" s="163"/>
      <c r="T86" s="168"/>
      <c r="U86" s="173"/>
      <c r="V86" s="178">
        <f t="shared" si="20"/>
        <v>0</v>
      </c>
      <c r="W86" s="169">
        <f t="shared" si="8"/>
        <v>0</v>
      </c>
      <c r="X86" s="174"/>
      <c r="Y86" s="169">
        <f t="shared" si="9"/>
        <v>0</v>
      </c>
      <c r="Z86" s="175">
        <f t="shared" si="10"/>
        <v>0</v>
      </c>
      <c r="AA86" s="176" t="e">
        <f t="shared" si="11"/>
        <v>#DIV/0!</v>
      </c>
      <c r="AB86" s="169">
        <f t="shared" si="12"/>
        <v>0</v>
      </c>
      <c r="AC86" s="175">
        <f t="shared" si="13"/>
        <v>0</v>
      </c>
      <c r="AD86" s="176" t="e">
        <f t="shared" si="14"/>
        <v>#DIV/0!</v>
      </c>
      <c r="AE86" s="177"/>
      <c r="AF86" s="169"/>
      <c r="AG86" s="176"/>
      <c r="AH86" s="123"/>
      <c r="AI86" s="118"/>
    </row>
    <row r="87" spans="1:38" ht="18" hidden="1" customHeight="1" x14ac:dyDescent="0.25">
      <c r="A87" s="161"/>
      <c r="B87" s="162"/>
      <c r="C87" s="144">
        <v>24</v>
      </c>
      <c r="D87" s="163">
        <v>55</v>
      </c>
      <c r="E87" s="164">
        <f t="shared" si="2"/>
        <v>12.599789815610968</v>
      </c>
      <c r="F87" s="164"/>
      <c r="G87" s="164"/>
      <c r="H87" s="164"/>
      <c r="I87" s="166"/>
      <c r="J87" s="163">
        <f t="shared" si="17"/>
        <v>0</v>
      </c>
      <c r="K87" s="167">
        <v>450</v>
      </c>
      <c r="L87" s="168">
        <f t="shared" si="66"/>
        <v>289.28571428571428</v>
      </c>
      <c r="M87" s="169">
        <f t="shared" si="5"/>
        <v>0</v>
      </c>
      <c r="N87" s="170"/>
      <c r="O87" s="171"/>
      <c r="P87" s="172">
        <f t="shared" si="67"/>
        <v>0</v>
      </c>
      <c r="Q87" s="168"/>
      <c r="R87" s="168">
        <f t="shared" si="71"/>
        <v>0</v>
      </c>
      <c r="S87" s="163"/>
      <c r="T87" s="168"/>
      <c r="U87" s="173"/>
      <c r="V87" s="178">
        <f t="shared" si="20"/>
        <v>0</v>
      </c>
      <c r="W87" s="169">
        <f t="shared" si="8"/>
        <v>0</v>
      </c>
      <c r="X87" s="174"/>
      <c r="Y87" s="169">
        <f t="shared" si="9"/>
        <v>0</v>
      </c>
      <c r="Z87" s="175">
        <f t="shared" si="10"/>
        <v>0</v>
      </c>
      <c r="AA87" s="176" t="e">
        <f t="shared" si="11"/>
        <v>#DIV/0!</v>
      </c>
      <c r="AB87" s="169">
        <f t="shared" si="12"/>
        <v>0</v>
      </c>
      <c r="AC87" s="175">
        <f t="shared" si="13"/>
        <v>0</v>
      </c>
      <c r="AD87" s="176" t="e">
        <f t="shared" si="14"/>
        <v>#DIV/0!</v>
      </c>
      <c r="AE87" s="177"/>
      <c r="AF87" s="169"/>
      <c r="AG87" s="176"/>
      <c r="AH87" s="124"/>
      <c r="AI87" s="118"/>
    </row>
    <row r="88" spans="1:38" ht="18" hidden="1" customHeight="1" x14ac:dyDescent="0.25">
      <c r="A88" s="161"/>
      <c r="B88" s="162"/>
      <c r="C88" s="144">
        <v>24</v>
      </c>
      <c r="D88" s="163">
        <v>55</v>
      </c>
      <c r="E88" s="164">
        <f t="shared" si="2"/>
        <v>12.599789815610968</v>
      </c>
      <c r="F88" s="164"/>
      <c r="G88" s="164"/>
      <c r="H88" s="164"/>
      <c r="I88" s="166"/>
      <c r="J88" s="163">
        <f t="shared" si="17"/>
        <v>0</v>
      </c>
      <c r="K88" s="167">
        <v>450</v>
      </c>
      <c r="L88" s="168">
        <f t="shared" si="66"/>
        <v>289.28571428571428</v>
      </c>
      <c r="M88" s="169">
        <f t="shared" si="5"/>
        <v>0</v>
      </c>
      <c r="N88" s="170"/>
      <c r="O88" s="171"/>
      <c r="P88" s="172">
        <f t="shared" si="67"/>
        <v>0</v>
      </c>
      <c r="Q88" s="168"/>
      <c r="R88" s="168">
        <f t="shared" ref="R88:R90" si="72">IF(Q88&gt;0,(Q88-(J88/6))*130,0)</f>
        <v>0</v>
      </c>
      <c r="S88" s="163"/>
      <c r="T88" s="168"/>
      <c r="U88" s="173"/>
      <c r="V88" s="178">
        <f t="shared" ref="V88:V90" si="73">Q88*35</f>
        <v>0</v>
      </c>
      <c r="W88" s="169">
        <f t="shared" ref="W88:W90" si="74">72*V88/60*(D$3-E88)</f>
        <v>0</v>
      </c>
      <c r="X88" s="174"/>
      <c r="Y88" s="169">
        <f t="shared" si="9"/>
        <v>0</v>
      </c>
      <c r="Z88" s="175">
        <f t="shared" si="10"/>
        <v>0</v>
      </c>
      <c r="AA88" s="176" t="e">
        <f t="shared" si="11"/>
        <v>#DIV/0!</v>
      </c>
      <c r="AB88" s="169">
        <f t="shared" si="12"/>
        <v>0</v>
      </c>
      <c r="AC88" s="175">
        <f t="shared" si="13"/>
        <v>0</v>
      </c>
      <c r="AD88" s="176" t="e">
        <f t="shared" si="14"/>
        <v>#DIV/0!</v>
      </c>
      <c r="AE88" s="177"/>
      <c r="AF88" s="169"/>
      <c r="AG88" s="176"/>
      <c r="AH88" s="89"/>
      <c r="AI88" s="117"/>
    </row>
    <row r="89" spans="1:38" ht="18" hidden="1" customHeight="1" x14ac:dyDescent="0.25">
      <c r="A89" s="161"/>
      <c r="B89" s="162"/>
      <c r="C89" s="144">
        <v>24</v>
      </c>
      <c r="D89" s="163">
        <v>55</v>
      </c>
      <c r="E89" s="164">
        <f t="shared" si="2"/>
        <v>12.599789815610968</v>
      </c>
      <c r="F89" s="164"/>
      <c r="G89" s="164"/>
      <c r="H89" s="164"/>
      <c r="I89" s="166"/>
      <c r="J89" s="163">
        <f t="shared" ref="J89" si="75">I89/3.3</f>
        <v>0</v>
      </c>
      <c r="K89" s="167">
        <v>450</v>
      </c>
      <c r="L89" s="168">
        <f t="shared" ref="L89" si="76">(K89/2*F89/3.2+K89/2*($A$3-C89)/($A$3-26))</f>
        <v>289.28571428571428</v>
      </c>
      <c r="M89" s="169">
        <f t="shared" ref="M89" si="77">J89*L89</f>
        <v>0</v>
      </c>
      <c r="N89" s="170"/>
      <c r="O89" s="171"/>
      <c r="P89" s="172">
        <f t="shared" ref="P89" si="78">O89*N89</f>
        <v>0</v>
      </c>
      <c r="Q89" s="168"/>
      <c r="R89" s="168">
        <f t="shared" si="72"/>
        <v>0</v>
      </c>
      <c r="S89" s="163"/>
      <c r="T89" s="168"/>
      <c r="U89" s="173"/>
      <c r="V89" s="178">
        <f t="shared" si="73"/>
        <v>0</v>
      </c>
      <c r="W89" s="169">
        <f t="shared" si="74"/>
        <v>0</v>
      </c>
      <c r="X89" s="174"/>
      <c r="Y89" s="169">
        <f t="shared" ref="Y89" si="79">U89+R89+P89+M89</f>
        <v>0</v>
      </c>
      <c r="Z89" s="175">
        <f t="shared" ref="Z89" si="80">Y89/3024</f>
        <v>0</v>
      </c>
      <c r="AA89" s="176" t="e">
        <f t="shared" ref="AA89" si="81">$J89/Z89</f>
        <v>#DIV/0!</v>
      </c>
      <c r="AB89" s="169">
        <f t="shared" ref="AB89" si="82">W89+U89+R89+P89+M89</f>
        <v>0</v>
      </c>
      <c r="AC89" s="175">
        <f t="shared" ref="AC89" si="83">AB89/3024</f>
        <v>0</v>
      </c>
      <c r="AD89" s="176" t="e">
        <f t="shared" ref="AD89" si="84">$J89/AC89</f>
        <v>#DIV/0!</v>
      </c>
      <c r="AE89" s="177"/>
      <c r="AF89" s="169"/>
      <c r="AG89" s="176"/>
      <c r="AH89" s="89"/>
      <c r="AI89" s="117"/>
    </row>
    <row r="90" spans="1:38" ht="18" hidden="1" customHeight="1" x14ac:dyDescent="0.25">
      <c r="A90" s="161"/>
      <c r="B90" s="162"/>
      <c r="C90" s="144">
        <v>24</v>
      </c>
      <c r="D90" s="163">
        <v>55</v>
      </c>
      <c r="E90" s="164">
        <f t="shared" si="2"/>
        <v>12.599789815610968</v>
      </c>
      <c r="F90" s="164"/>
      <c r="G90" s="164"/>
      <c r="H90" s="164"/>
      <c r="I90" s="166"/>
      <c r="J90" s="163">
        <f t="shared" si="17"/>
        <v>0</v>
      </c>
      <c r="K90" s="167">
        <v>450</v>
      </c>
      <c r="L90" s="168">
        <f t="shared" si="66"/>
        <v>289.28571428571428</v>
      </c>
      <c r="M90" s="169">
        <f t="shared" si="5"/>
        <v>0</v>
      </c>
      <c r="N90" s="170"/>
      <c r="O90" s="171"/>
      <c r="P90" s="172">
        <f t="shared" si="67"/>
        <v>0</v>
      </c>
      <c r="Q90" s="168"/>
      <c r="R90" s="168">
        <f t="shared" si="72"/>
        <v>0</v>
      </c>
      <c r="S90" s="163"/>
      <c r="T90" s="168"/>
      <c r="U90" s="173"/>
      <c r="V90" s="178">
        <f t="shared" si="73"/>
        <v>0</v>
      </c>
      <c r="W90" s="169">
        <f t="shared" si="74"/>
        <v>0</v>
      </c>
      <c r="X90" s="174"/>
      <c r="Y90" s="169">
        <f t="shared" si="9"/>
        <v>0</v>
      </c>
      <c r="Z90" s="175">
        <f t="shared" si="10"/>
        <v>0</v>
      </c>
      <c r="AA90" s="176" t="e">
        <f t="shared" si="11"/>
        <v>#DIV/0!</v>
      </c>
      <c r="AB90" s="169">
        <f t="shared" si="12"/>
        <v>0</v>
      </c>
      <c r="AC90" s="175">
        <f t="shared" si="13"/>
        <v>0</v>
      </c>
      <c r="AD90" s="176" t="e">
        <f t="shared" si="14"/>
        <v>#DIV/0!</v>
      </c>
      <c r="AE90" s="177"/>
      <c r="AF90" s="169"/>
      <c r="AG90" s="176"/>
      <c r="AH90" s="89"/>
      <c r="AI90" s="117"/>
    </row>
    <row r="91" spans="1:38" ht="18" customHeight="1" x14ac:dyDescent="0.25">
      <c r="A91" s="161"/>
      <c r="B91" s="162"/>
      <c r="C91" s="144"/>
      <c r="D91" s="163"/>
      <c r="E91" s="164"/>
      <c r="F91" s="164"/>
      <c r="G91" s="164"/>
      <c r="H91" s="164"/>
      <c r="I91" s="166"/>
      <c r="J91" s="163"/>
      <c r="K91" s="167"/>
      <c r="L91" s="168"/>
      <c r="M91" s="169"/>
      <c r="N91" s="170"/>
      <c r="O91" s="171"/>
      <c r="P91" s="172"/>
      <c r="Q91" s="168"/>
      <c r="R91" s="168"/>
      <c r="S91" s="163"/>
      <c r="T91" s="168"/>
      <c r="U91" s="173"/>
      <c r="V91" s="178"/>
      <c r="W91" s="169"/>
      <c r="X91" s="174"/>
      <c r="Y91" s="169"/>
      <c r="Z91" s="175"/>
      <c r="AA91" s="176"/>
      <c r="AB91" s="169"/>
      <c r="AC91" s="175"/>
      <c r="AD91" s="176"/>
      <c r="AE91" s="177"/>
      <c r="AF91" s="169"/>
      <c r="AG91" s="176"/>
      <c r="AH91" s="89"/>
      <c r="AI91" s="117"/>
    </row>
    <row r="92" spans="1:38" ht="18" customHeight="1" x14ac:dyDescent="0.25">
      <c r="A92" s="161"/>
      <c r="B92" s="162"/>
      <c r="C92" s="144"/>
      <c r="D92" s="163"/>
      <c r="E92" s="164"/>
      <c r="F92" s="164"/>
      <c r="G92" s="164"/>
      <c r="H92" s="164"/>
      <c r="I92" s="166"/>
      <c r="J92" s="163"/>
      <c r="K92" s="167"/>
      <c r="L92" s="168"/>
      <c r="M92" s="169"/>
      <c r="N92" s="170"/>
      <c r="O92" s="171"/>
      <c r="P92" s="172"/>
      <c r="Q92" s="168"/>
      <c r="R92" s="168"/>
      <c r="S92" s="163"/>
      <c r="T92" s="168"/>
      <c r="U92" s="173"/>
      <c r="V92" s="178"/>
      <c r="W92" s="169"/>
      <c r="X92" s="174"/>
      <c r="Y92" s="169"/>
      <c r="Z92" s="175"/>
      <c r="AA92" s="176"/>
      <c r="AB92" s="169"/>
      <c r="AC92" s="175"/>
      <c r="AD92" s="176"/>
      <c r="AE92" s="177"/>
      <c r="AF92" s="169"/>
      <c r="AG92" s="176"/>
      <c r="AH92" s="89"/>
      <c r="AI92" s="117"/>
    </row>
    <row r="93" spans="1:38" ht="18" customHeight="1" x14ac:dyDescent="0.25">
      <c r="A93" s="179"/>
      <c r="B93" s="180"/>
      <c r="C93" s="181"/>
      <c r="D93" s="181"/>
      <c r="E93" s="182"/>
      <c r="F93" s="182"/>
      <c r="G93" s="182"/>
      <c r="H93" s="182"/>
      <c r="I93" s="183"/>
      <c r="J93" s="181"/>
      <c r="K93" s="184"/>
      <c r="L93" s="185"/>
      <c r="M93" s="185"/>
      <c r="N93" s="186"/>
      <c r="O93" s="187"/>
      <c r="P93" s="188"/>
      <c r="Q93" s="185"/>
      <c r="R93" s="185"/>
      <c r="S93" s="181"/>
      <c r="T93" s="185"/>
      <c r="U93" s="189"/>
      <c r="V93" s="185"/>
      <c r="W93" s="185"/>
      <c r="X93" s="185"/>
      <c r="Y93" s="185"/>
      <c r="Z93" s="181"/>
      <c r="AA93" s="181"/>
      <c r="AB93" s="185"/>
      <c r="AC93" s="185"/>
      <c r="AD93" s="181"/>
      <c r="AE93" s="190"/>
      <c r="AF93" s="185"/>
      <c r="AG93" s="185"/>
      <c r="AH93" s="125"/>
      <c r="AI93" s="119"/>
    </row>
    <row r="94" spans="1:38" ht="18" customHeight="1" thickBot="1" x14ac:dyDescent="0.3">
      <c r="A94" s="191" t="s">
        <v>31</v>
      </c>
      <c r="B94" s="192"/>
      <c r="C94" s="193"/>
      <c r="D94" s="193"/>
      <c r="E94" s="194"/>
      <c r="F94" s="194"/>
      <c r="G94" s="194"/>
      <c r="H94" s="194"/>
      <c r="I94" s="195">
        <f>SUM(I8:I90)</f>
        <v>3410.5100000000011</v>
      </c>
      <c r="J94" s="193">
        <f>SUM(J8:J93)</f>
        <v>1033.4878787878788</v>
      </c>
      <c r="K94" s="233"/>
      <c r="L94" s="196"/>
      <c r="M94" s="193">
        <f>SUM(M8:M93)</f>
        <v>563450.23234577943</v>
      </c>
      <c r="N94" s="196">
        <f>SUM(N14:N93)</f>
        <v>0</v>
      </c>
      <c r="O94" s="196">
        <f>SUM(O14:O93)</f>
        <v>0</v>
      </c>
      <c r="P94" s="196">
        <f>SUM(P14:P93)</f>
        <v>0</v>
      </c>
      <c r="Q94" s="193">
        <f>SUM(Q8:Q93)</f>
        <v>831</v>
      </c>
      <c r="R94" s="193">
        <f>SUM(R8:R93)</f>
        <v>85637.762626262629</v>
      </c>
      <c r="S94" s="196">
        <f>SUM(S14:S93)</f>
        <v>1677</v>
      </c>
      <c r="T94" s="196">
        <f>SUM(T14:T93)</f>
        <v>0</v>
      </c>
      <c r="U94" s="196">
        <f>SUM(U14:U93)</f>
        <v>0</v>
      </c>
      <c r="V94" s="193">
        <f>SUM(V8:V93)</f>
        <v>27795</v>
      </c>
      <c r="W94" s="193">
        <f>SUM(W8:W93)</f>
        <v>331470.31212381774</v>
      </c>
      <c r="X94" s="196">
        <f>SUM(X14:X93)</f>
        <v>0</v>
      </c>
      <c r="Y94" s="193">
        <f>SUM(Y8:Y93)</f>
        <v>649087.99497204181</v>
      </c>
      <c r="Z94" s="193">
        <f>SUM(Z8:Z93)</f>
        <v>214.64550098281799</v>
      </c>
      <c r="AA94" s="193"/>
      <c r="AB94" s="193">
        <f>SUM(AB8:AB93)</f>
        <v>980558.3070958592</v>
      </c>
      <c r="AC94" s="193">
        <f>SUM(AC8:AC93)</f>
        <v>325.65869943646152</v>
      </c>
      <c r="AD94" s="193"/>
      <c r="AE94" s="197"/>
      <c r="AF94" s="196">
        <f>SUM(AF2:AF93)</f>
        <v>102999.26490528673</v>
      </c>
      <c r="AG94" s="198">
        <f>AF94/3024</f>
        <v>34.060603473970481</v>
      </c>
      <c r="AH94" s="126"/>
      <c r="AI94" s="120"/>
    </row>
    <row r="95" spans="1:38" ht="18" customHeight="1" thickBot="1" x14ac:dyDescent="0.3">
      <c r="A95" s="199"/>
      <c r="B95" s="200"/>
      <c r="C95" s="200"/>
      <c r="D95" s="200"/>
      <c r="E95" s="201"/>
      <c r="F95" s="201"/>
      <c r="G95" s="201"/>
      <c r="H95" s="201"/>
      <c r="I95" s="202">
        <f>I94</f>
        <v>3410.5100000000011</v>
      </c>
      <c r="J95" s="203">
        <f>J94</f>
        <v>1033.4878787878788</v>
      </c>
      <c r="K95" s="234"/>
      <c r="L95" s="203"/>
      <c r="M95" s="203">
        <f>M94</f>
        <v>563450.23234577943</v>
      </c>
      <c r="N95" s="203"/>
      <c r="O95" s="203"/>
      <c r="P95" s="203"/>
      <c r="Q95" s="203">
        <f>Q94</f>
        <v>831</v>
      </c>
      <c r="R95" s="203">
        <f>R94</f>
        <v>85637.762626262629</v>
      </c>
      <c r="S95" s="203"/>
      <c r="T95" s="203"/>
      <c r="U95" s="203"/>
      <c r="V95" s="203">
        <f>V94</f>
        <v>27795</v>
      </c>
      <c r="W95" s="203">
        <f>W94</f>
        <v>331470.31212381774</v>
      </c>
      <c r="X95" s="203"/>
      <c r="Y95" s="203">
        <f t="shared" ref="Y95:AD95" si="85">Y94</f>
        <v>649087.99497204181</v>
      </c>
      <c r="Z95" s="203">
        <f t="shared" si="85"/>
        <v>214.64550098281799</v>
      </c>
      <c r="AA95" s="203">
        <f t="shared" si="85"/>
        <v>0</v>
      </c>
      <c r="AB95" s="203">
        <f t="shared" si="85"/>
        <v>980558.3070958592</v>
      </c>
      <c r="AC95" s="203">
        <f t="shared" si="85"/>
        <v>325.65869943646152</v>
      </c>
      <c r="AD95" s="203">
        <f t="shared" si="85"/>
        <v>0</v>
      </c>
      <c r="AE95" s="203" t="e">
        <f>AE94+#REF!</f>
        <v>#REF!</v>
      </c>
      <c r="AF95" s="203" t="e">
        <f>AF94+#REF!</f>
        <v>#REF!</v>
      </c>
      <c r="AG95" s="203" t="e">
        <f>AG94+#REF!</f>
        <v>#REF!</v>
      </c>
      <c r="AH95" s="127"/>
      <c r="AI95" s="121"/>
    </row>
    <row r="96" spans="1:38" ht="20.100000000000001" customHeight="1" x14ac:dyDescent="0.25">
      <c r="A96" s="74"/>
      <c r="B96" s="75"/>
      <c r="C96" s="75"/>
      <c r="D96" s="75"/>
      <c r="E96" s="76"/>
      <c r="F96" s="76"/>
      <c r="G96" s="76"/>
      <c r="H96" s="76"/>
      <c r="I96" s="87"/>
      <c r="J96" s="77"/>
      <c r="K96" s="235"/>
      <c r="L96" s="92"/>
      <c r="M96" s="92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5" t="s">
        <v>47</v>
      </c>
      <c r="AI96" s="114"/>
    </row>
    <row r="97" spans="1:35" ht="20.100000000000001" customHeight="1" thickBot="1" x14ac:dyDescent="0.3">
      <c r="A97" s="74"/>
      <c r="B97" s="75"/>
      <c r="C97" s="75"/>
      <c r="D97" s="75"/>
      <c r="E97" s="76"/>
      <c r="F97" s="76"/>
      <c r="G97" s="76"/>
      <c r="H97" s="76"/>
      <c r="I97" s="87"/>
      <c r="J97" s="77"/>
      <c r="K97" s="235"/>
      <c r="L97" s="92"/>
      <c r="M97" s="92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5" t="s">
        <v>49</v>
      </c>
      <c r="AI97" s="114"/>
    </row>
    <row r="98" spans="1:35" ht="20.100000000000001" customHeight="1" thickBot="1" x14ac:dyDescent="0.3">
      <c r="A98" s="74"/>
      <c r="B98" s="75"/>
      <c r="C98" s="75"/>
      <c r="D98" s="75"/>
      <c r="E98" s="76"/>
      <c r="F98" s="76"/>
      <c r="G98" s="76"/>
      <c r="H98" s="76"/>
      <c r="I98" s="87"/>
      <c r="J98" s="77"/>
      <c r="K98" s="235"/>
      <c r="L98" s="92"/>
      <c r="M98" s="92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262" t="s">
        <v>43</v>
      </c>
      <c r="AA98" s="263"/>
      <c r="AB98" s="264" t="s">
        <v>23</v>
      </c>
      <c r="AC98" s="265"/>
      <c r="AD98" s="266"/>
      <c r="AE98" s="77"/>
      <c r="AF98" s="77"/>
      <c r="AG98" s="77"/>
      <c r="AH98" s="75" t="s">
        <v>50</v>
      </c>
      <c r="AI98" s="114"/>
    </row>
    <row r="99" spans="1:35" ht="20.100000000000001" customHeight="1" x14ac:dyDescent="0.25">
      <c r="J99" s="62"/>
      <c r="P99" s="63"/>
      <c r="R99" s="64"/>
      <c r="S99" s="65"/>
      <c r="T99" s="15"/>
      <c r="U99" s="66"/>
      <c r="V99" s="52"/>
      <c r="W99" s="66"/>
      <c r="X99" s="66"/>
      <c r="Y99" s="66"/>
      <c r="Z99" s="246" t="s">
        <v>36</v>
      </c>
      <c r="AA99" s="247"/>
      <c r="AB99" s="250" t="s">
        <v>35</v>
      </c>
      <c r="AC99" s="251"/>
      <c r="AD99" s="252"/>
      <c r="AH99" s="101" t="s">
        <v>48</v>
      </c>
      <c r="AI99" s="115"/>
    </row>
    <row r="100" spans="1:35" ht="20.100000000000001" customHeight="1" thickBot="1" x14ac:dyDescent="0.3">
      <c r="J100" s="62"/>
      <c r="P100" s="63"/>
      <c r="R100" s="64"/>
      <c r="S100" s="65"/>
      <c r="T100" s="15"/>
      <c r="U100" s="66"/>
      <c r="V100" s="52"/>
      <c r="W100" s="66"/>
      <c r="X100" s="66"/>
      <c r="Y100" s="66"/>
      <c r="Z100" s="248"/>
      <c r="AA100" s="249"/>
      <c r="AB100" s="253"/>
      <c r="AC100" s="254"/>
      <c r="AD100" s="255"/>
      <c r="AH100" s="101" t="s">
        <v>51</v>
      </c>
    </row>
    <row r="101" spans="1:35" ht="20.100000000000001" customHeight="1" x14ac:dyDescent="0.25">
      <c r="AH101" s="101" t="s">
        <v>53</v>
      </c>
    </row>
    <row r="102" spans="1:35" ht="20.100000000000001" customHeight="1" x14ac:dyDescent="0.25">
      <c r="AH102" s="101" t="s">
        <v>52</v>
      </c>
    </row>
    <row r="103" spans="1:35" ht="20.100000000000001" customHeight="1" x14ac:dyDescent="0.25"/>
    <row r="104" spans="1:35" ht="14.45" customHeight="1" x14ac:dyDescent="0.25"/>
    <row r="105" spans="1:35" s="72" customFormat="1" ht="14.45" customHeight="1" x14ac:dyDescent="0.25">
      <c r="B105" s="49"/>
      <c r="C105" s="49"/>
      <c r="D105" s="49"/>
      <c r="E105" s="50"/>
      <c r="F105" s="50"/>
      <c r="G105" s="50"/>
      <c r="H105" s="50"/>
      <c r="I105" s="88"/>
      <c r="J105" s="51"/>
      <c r="K105" s="111"/>
      <c r="L105" s="112"/>
      <c r="M105" s="108"/>
      <c r="N105" s="53"/>
      <c r="O105" s="54"/>
      <c r="P105" s="55"/>
      <c r="Q105" s="15"/>
      <c r="R105" s="56"/>
      <c r="S105" s="57"/>
      <c r="T105" s="58"/>
      <c r="U105" s="59"/>
      <c r="V105" s="60"/>
      <c r="W105" s="59"/>
      <c r="X105" s="59"/>
      <c r="Y105" s="59"/>
      <c r="Z105" s="61"/>
      <c r="AA105" s="61"/>
      <c r="AB105" s="56"/>
      <c r="AC105" s="56"/>
      <c r="AD105" s="51"/>
      <c r="AE105" s="61"/>
      <c r="AF105" s="56"/>
      <c r="AG105" s="56"/>
      <c r="AH105" s="101"/>
      <c r="AI105" s="97"/>
    </row>
    <row r="106" spans="1:35" s="72" customFormat="1" ht="14.45" customHeight="1" x14ac:dyDescent="0.25">
      <c r="B106" s="49"/>
      <c r="C106" s="49"/>
      <c r="D106" s="49"/>
      <c r="E106" s="50"/>
      <c r="F106" s="50"/>
      <c r="G106" s="50"/>
      <c r="H106" s="50"/>
      <c r="I106" s="88"/>
      <c r="J106" s="51"/>
      <c r="K106" s="111"/>
      <c r="L106" s="112"/>
      <c r="M106" s="108"/>
      <c r="N106" s="53"/>
      <c r="O106" s="54"/>
      <c r="P106" s="55"/>
      <c r="Q106" s="15"/>
      <c r="R106" s="56"/>
      <c r="S106" s="57"/>
      <c r="T106" s="58"/>
      <c r="U106" s="59"/>
      <c r="V106" s="60"/>
      <c r="W106" s="59"/>
      <c r="X106" s="59"/>
      <c r="Y106" s="59"/>
      <c r="Z106" s="61"/>
      <c r="AA106" s="61"/>
      <c r="AB106" s="56"/>
      <c r="AC106" s="56"/>
      <c r="AD106" s="51"/>
      <c r="AE106" s="61"/>
      <c r="AF106" s="56"/>
      <c r="AG106" s="56"/>
      <c r="AH106" s="101"/>
      <c r="AI106" s="97"/>
    </row>
    <row r="107" spans="1:35" s="72" customFormat="1" ht="14.45" customHeight="1" x14ac:dyDescent="0.25">
      <c r="B107" s="49"/>
      <c r="C107" s="49"/>
      <c r="D107" s="49"/>
      <c r="E107" s="50"/>
      <c r="F107" s="50"/>
      <c r="G107" s="50"/>
      <c r="H107" s="50"/>
      <c r="I107" s="88"/>
      <c r="J107" s="51"/>
      <c r="K107" s="111"/>
      <c r="L107" s="112"/>
      <c r="M107" s="108"/>
      <c r="N107" s="53"/>
      <c r="O107" s="54"/>
      <c r="P107" s="55"/>
      <c r="Q107" s="15"/>
      <c r="R107" s="56"/>
      <c r="S107" s="57"/>
      <c r="T107" s="58"/>
      <c r="U107" s="59"/>
      <c r="V107" s="60"/>
      <c r="W107" s="59"/>
      <c r="X107" s="59"/>
      <c r="Y107" s="59"/>
      <c r="Z107" s="61"/>
      <c r="AA107" s="61"/>
      <c r="AB107" s="56"/>
      <c r="AC107" s="56"/>
      <c r="AD107" s="51"/>
      <c r="AE107" s="61"/>
      <c r="AF107" s="56"/>
      <c r="AG107" s="56"/>
      <c r="AH107" s="101"/>
      <c r="AI107" s="97"/>
    </row>
    <row r="108" spans="1:35" s="72" customFormat="1" ht="14.45" customHeight="1" x14ac:dyDescent="0.25">
      <c r="B108" s="49"/>
      <c r="C108" s="49"/>
      <c r="D108" s="49"/>
      <c r="E108" s="50"/>
      <c r="F108" s="50"/>
      <c r="G108" s="50"/>
      <c r="H108" s="50"/>
      <c r="I108" s="88"/>
      <c r="J108" s="51"/>
      <c r="K108" s="111"/>
      <c r="L108" s="112"/>
      <c r="M108" s="108"/>
      <c r="N108" s="53"/>
      <c r="O108" s="54"/>
      <c r="P108" s="55"/>
      <c r="Q108" s="15"/>
      <c r="R108" s="56"/>
      <c r="S108" s="57"/>
      <c r="T108" s="58"/>
      <c r="U108" s="59"/>
      <c r="V108" s="60"/>
      <c r="W108" s="59"/>
      <c r="X108" s="59"/>
      <c r="Y108" s="59"/>
      <c r="Z108" s="61"/>
      <c r="AA108" s="61"/>
      <c r="AB108" s="56"/>
      <c r="AC108" s="56"/>
      <c r="AD108" s="51"/>
      <c r="AE108" s="61"/>
      <c r="AF108" s="56"/>
      <c r="AG108" s="56"/>
      <c r="AH108" s="101"/>
      <c r="AI108" s="97"/>
    </row>
    <row r="109" spans="1:35" s="72" customFormat="1" ht="14.45" customHeight="1" x14ac:dyDescent="0.25">
      <c r="B109" s="49"/>
      <c r="C109" s="49"/>
      <c r="D109" s="49"/>
      <c r="E109" s="50"/>
      <c r="F109" s="50"/>
      <c r="G109" s="50"/>
      <c r="H109" s="50"/>
      <c r="I109" s="88"/>
      <c r="J109" s="51"/>
      <c r="K109" s="111"/>
      <c r="L109" s="112"/>
      <c r="M109" s="108"/>
      <c r="N109" s="53"/>
      <c r="O109" s="54"/>
      <c r="P109" s="55"/>
      <c r="Q109" s="15"/>
      <c r="R109" s="56"/>
      <c r="S109" s="57"/>
      <c r="T109" s="58"/>
      <c r="U109" s="59"/>
      <c r="V109" s="60"/>
      <c r="W109" s="59"/>
      <c r="X109" s="59"/>
      <c r="Y109" s="59"/>
      <c r="Z109" s="61"/>
      <c r="AA109" s="61"/>
      <c r="AB109" s="56"/>
      <c r="AC109" s="56"/>
      <c r="AD109" s="51"/>
      <c r="AE109" s="61"/>
      <c r="AF109" s="56"/>
      <c r="AG109" s="56"/>
      <c r="AH109" s="101"/>
      <c r="AI109" s="97"/>
    </row>
    <row r="110" spans="1:35" s="72" customFormat="1" ht="14.45" customHeight="1" x14ac:dyDescent="0.25">
      <c r="B110" s="49"/>
      <c r="C110" s="49"/>
      <c r="D110" s="49"/>
      <c r="E110" s="50"/>
      <c r="F110" s="50"/>
      <c r="G110" s="50"/>
      <c r="H110" s="50"/>
      <c r="I110" s="88"/>
      <c r="J110" s="51"/>
      <c r="K110" s="111"/>
      <c r="L110" s="112"/>
      <c r="M110" s="108"/>
      <c r="N110" s="53"/>
      <c r="O110" s="54"/>
      <c r="P110" s="55"/>
      <c r="Q110" s="15"/>
      <c r="R110" s="56"/>
      <c r="S110" s="57"/>
      <c r="T110" s="58"/>
      <c r="U110" s="59"/>
      <c r="V110" s="60"/>
      <c r="W110" s="59"/>
      <c r="X110" s="59"/>
      <c r="Y110" s="59"/>
      <c r="Z110" s="61"/>
      <c r="AA110" s="61"/>
      <c r="AB110" s="56"/>
      <c r="AC110" s="56"/>
      <c r="AD110" s="51"/>
      <c r="AE110" s="61"/>
      <c r="AF110" s="56"/>
      <c r="AG110" s="56"/>
      <c r="AH110" s="101"/>
      <c r="AI110" s="97"/>
    </row>
    <row r="111" spans="1:35" s="72" customFormat="1" ht="14.45" customHeight="1" x14ac:dyDescent="0.25">
      <c r="B111" s="49"/>
      <c r="C111" s="49"/>
      <c r="D111" s="49"/>
      <c r="E111" s="50"/>
      <c r="F111" s="50"/>
      <c r="G111" s="50"/>
      <c r="H111" s="50"/>
      <c r="I111" s="88"/>
      <c r="J111" s="51"/>
      <c r="K111" s="111"/>
      <c r="L111" s="112"/>
      <c r="M111" s="108"/>
      <c r="N111" s="53"/>
      <c r="O111" s="54"/>
      <c r="P111" s="55"/>
      <c r="Q111" s="15"/>
      <c r="R111" s="56"/>
      <c r="S111" s="57"/>
      <c r="T111" s="58"/>
      <c r="U111" s="59"/>
      <c r="V111" s="60"/>
      <c r="W111" s="59"/>
      <c r="X111" s="59"/>
      <c r="Y111" s="59"/>
      <c r="Z111" s="61"/>
      <c r="AA111" s="61"/>
      <c r="AB111" s="56"/>
      <c r="AC111" s="56"/>
      <c r="AD111" s="51"/>
      <c r="AE111" s="61"/>
      <c r="AF111" s="56"/>
      <c r="AG111" s="56"/>
      <c r="AH111" s="101"/>
      <c r="AI111" s="97"/>
    </row>
    <row r="112" spans="1:35" s="72" customFormat="1" ht="14.45" customHeight="1" x14ac:dyDescent="0.25">
      <c r="B112" s="49"/>
      <c r="C112" s="49"/>
      <c r="D112" s="49"/>
      <c r="E112" s="50"/>
      <c r="F112" s="50"/>
      <c r="G112" s="50"/>
      <c r="H112" s="50"/>
      <c r="I112" s="88"/>
      <c r="J112" s="51"/>
      <c r="K112" s="111"/>
      <c r="L112" s="112"/>
      <c r="M112" s="108"/>
      <c r="N112" s="53"/>
      <c r="O112" s="54"/>
      <c r="P112" s="55"/>
      <c r="Q112" s="15"/>
      <c r="R112" s="56"/>
      <c r="S112" s="57"/>
      <c r="T112" s="58"/>
      <c r="U112" s="59"/>
      <c r="V112" s="60"/>
      <c r="W112" s="59"/>
      <c r="X112" s="59"/>
      <c r="Y112" s="59"/>
      <c r="Z112" s="61"/>
      <c r="AA112" s="61"/>
      <c r="AB112" s="56"/>
      <c r="AC112" s="56"/>
      <c r="AD112" s="51"/>
      <c r="AE112" s="61"/>
      <c r="AF112" s="56"/>
      <c r="AG112" s="56"/>
      <c r="AH112" s="101"/>
      <c r="AI112" s="97"/>
    </row>
    <row r="113" spans="2:35" s="72" customFormat="1" ht="14.45" customHeight="1" x14ac:dyDescent="0.25">
      <c r="B113" s="49"/>
      <c r="C113" s="49"/>
      <c r="D113" s="49"/>
      <c r="E113" s="50"/>
      <c r="F113" s="50"/>
      <c r="G113" s="50"/>
      <c r="H113" s="50"/>
      <c r="I113" s="88"/>
      <c r="J113" s="51"/>
      <c r="K113" s="111"/>
      <c r="L113" s="112"/>
      <c r="M113" s="108"/>
      <c r="N113" s="53"/>
      <c r="O113" s="54"/>
      <c r="P113" s="55"/>
      <c r="Q113" s="15"/>
      <c r="R113" s="56"/>
      <c r="S113" s="57"/>
      <c r="T113" s="58"/>
      <c r="U113" s="59"/>
      <c r="V113" s="60"/>
      <c r="W113" s="59"/>
      <c r="X113" s="59"/>
      <c r="Y113" s="59"/>
      <c r="Z113" s="61"/>
      <c r="AA113" s="61"/>
      <c r="AB113" s="56"/>
      <c r="AC113" s="56"/>
      <c r="AD113" s="51"/>
      <c r="AE113" s="61"/>
      <c r="AF113" s="56"/>
      <c r="AG113" s="56"/>
      <c r="AH113" s="101"/>
      <c r="AI113" s="97"/>
    </row>
    <row r="114" spans="2:35" s="72" customFormat="1" ht="14.45" customHeight="1" x14ac:dyDescent="0.25">
      <c r="B114" s="49"/>
      <c r="C114" s="49"/>
      <c r="D114" s="49"/>
      <c r="E114" s="50"/>
      <c r="F114" s="50"/>
      <c r="G114" s="50"/>
      <c r="H114" s="50"/>
      <c r="I114" s="88"/>
      <c r="J114" s="51"/>
      <c r="K114" s="111"/>
      <c r="L114" s="112"/>
      <c r="M114" s="108"/>
      <c r="N114" s="53"/>
      <c r="O114" s="54"/>
      <c r="P114" s="55"/>
      <c r="Q114" s="15"/>
      <c r="R114" s="56"/>
      <c r="S114" s="57"/>
      <c r="T114" s="58"/>
      <c r="U114" s="59"/>
      <c r="V114" s="60"/>
      <c r="W114" s="59"/>
      <c r="X114" s="59"/>
      <c r="Y114" s="59"/>
      <c r="Z114" s="61"/>
      <c r="AA114" s="61"/>
      <c r="AB114" s="56"/>
      <c r="AC114" s="56"/>
      <c r="AD114" s="51"/>
      <c r="AE114" s="61"/>
      <c r="AF114" s="56"/>
      <c r="AG114" s="56"/>
      <c r="AH114" s="101"/>
      <c r="AI114" s="97"/>
    </row>
    <row r="115" spans="2:35" s="72" customFormat="1" ht="14.45" customHeight="1" x14ac:dyDescent="0.25">
      <c r="B115" s="49"/>
      <c r="C115" s="49"/>
      <c r="D115" s="49"/>
      <c r="E115" s="50"/>
      <c r="F115" s="50"/>
      <c r="G115" s="50"/>
      <c r="H115" s="50"/>
      <c r="I115" s="88"/>
      <c r="J115" s="51"/>
      <c r="K115" s="111"/>
      <c r="L115" s="112"/>
      <c r="M115" s="108"/>
      <c r="N115" s="53"/>
      <c r="O115" s="54"/>
      <c r="P115" s="55"/>
      <c r="Q115" s="15"/>
      <c r="R115" s="56"/>
      <c r="S115" s="57"/>
      <c r="T115" s="58"/>
      <c r="U115" s="59"/>
      <c r="V115" s="60"/>
      <c r="W115" s="59"/>
      <c r="X115" s="59"/>
      <c r="Y115" s="59"/>
      <c r="Z115" s="61"/>
      <c r="AA115" s="61"/>
      <c r="AB115" s="56"/>
      <c r="AC115" s="56"/>
      <c r="AD115" s="51"/>
      <c r="AE115" s="61"/>
      <c r="AF115" s="56"/>
      <c r="AG115" s="56"/>
      <c r="AH115" s="101"/>
      <c r="AI115" s="97"/>
    </row>
    <row r="116" spans="2:35" s="72" customFormat="1" ht="14.45" customHeight="1" x14ac:dyDescent="0.25">
      <c r="B116" s="49"/>
      <c r="C116" s="49"/>
      <c r="D116" s="49"/>
      <c r="E116" s="50"/>
      <c r="F116" s="50"/>
      <c r="G116" s="50"/>
      <c r="H116" s="50"/>
      <c r="I116" s="88"/>
      <c r="J116" s="51"/>
      <c r="K116" s="111"/>
      <c r="L116" s="112"/>
      <c r="M116" s="108"/>
      <c r="N116" s="53"/>
      <c r="O116" s="54"/>
      <c r="P116" s="55"/>
      <c r="Q116" s="15"/>
      <c r="R116" s="56"/>
      <c r="S116" s="57"/>
      <c r="T116" s="58"/>
      <c r="U116" s="59"/>
      <c r="V116" s="60"/>
      <c r="W116" s="59"/>
      <c r="X116" s="59"/>
      <c r="Y116" s="59"/>
      <c r="Z116" s="61"/>
      <c r="AA116" s="61"/>
      <c r="AB116" s="56"/>
      <c r="AC116" s="56"/>
      <c r="AD116" s="51"/>
      <c r="AE116" s="61"/>
      <c r="AF116" s="56"/>
      <c r="AG116" s="56"/>
      <c r="AH116" s="101"/>
      <c r="AI116" s="97"/>
    </row>
    <row r="117" spans="2:35" s="72" customFormat="1" ht="14.45" customHeight="1" x14ac:dyDescent="0.25">
      <c r="B117" s="49"/>
      <c r="C117" s="49"/>
      <c r="D117" s="49"/>
      <c r="E117" s="50"/>
      <c r="F117" s="50"/>
      <c r="G117" s="50"/>
      <c r="H117" s="50"/>
      <c r="I117" s="88"/>
      <c r="J117" s="51"/>
      <c r="K117" s="111"/>
      <c r="L117" s="112"/>
      <c r="M117" s="108"/>
      <c r="N117" s="53"/>
      <c r="O117" s="54"/>
      <c r="P117" s="55"/>
      <c r="Q117" s="15"/>
      <c r="R117" s="56"/>
      <c r="S117" s="57"/>
      <c r="T117" s="58"/>
      <c r="U117" s="59"/>
      <c r="V117" s="60"/>
      <c r="W117" s="59"/>
      <c r="X117" s="59"/>
      <c r="Y117" s="59"/>
      <c r="Z117" s="61"/>
      <c r="AA117" s="61"/>
      <c r="AB117" s="56"/>
      <c r="AC117" s="56"/>
      <c r="AD117" s="51"/>
      <c r="AE117" s="61"/>
      <c r="AF117" s="56"/>
      <c r="AG117" s="56"/>
      <c r="AH117" s="101"/>
      <c r="AI117" s="97"/>
    </row>
    <row r="118" spans="2:35" s="72" customFormat="1" ht="14.45" customHeight="1" x14ac:dyDescent="0.25">
      <c r="B118" s="49"/>
      <c r="C118" s="49"/>
      <c r="D118" s="49"/>
      <c r="E118" s="50"/>
      <c r="F118" s="50"/>
      <c r="G118" s="50"/>
      <c r="H118" s="50"/>
      <c r="I118" s="88"/>
      <c r="J118" s="51"/>
      <c r="K118" s="111"/>
      <c r="L118" s="112"/>
      <c r="M118" s="108"/>
      <c r="N118" s="53"/>
      <c r="O118" s="54"/>
      <c r="P118" s="55"/>
      <c r="Q118" s="15"/>
      <c r="R118" s="56"/>
      <c r="S118" s="57"/>
      <c r="T118" s="58"/>
      <c r="U118" s="59"/>
      <c r="V118" s="60"/>
      <c r="W118" s="59"/>
      <c r="X118" s="59"/>
      <c r="Y118" s="59"/>
      <c r="Z118" s="61"/>
      <c r="AA118" s="61"/>
      <c r="AB118" s="56"/>
      <c r="AC118" s="56"/>
      <c r="AD118" s="51"/>
      <c r="AE118" s="61"/>
      <c r="AF118" s="56"/>
      <c r="AG118" s="56"/>
      <c r="AH118" s="101"/>
      <c r="AI118" s="97"/>
    </row>
  </sheetData>
  <mergeCells count="9">
    <mergeCell ref="Z99:AA100"/>
    <mergeCell ref="AB99:AD100"/>
    <mergeCell ref="A2:AI2"/>
    <mergeCell ref="A6:A7"/>
    <mergeCell ref="Q6:R6"/>
    <mergeCell ref="S6:U6"/>
    <mergeCell ref="V6:W6"/>
    <mergeCell ref="Z98:AA98"/>
    <mergeCell ref="AB98:AD98"/>
  </mergeCells>
  <phoneticPr fontId="1" type="noConversion"/>
  <printOptions horizontalCentered="1" verticalCentered="1" gridLinesSet="0"/>
  <pageMargins left="0.19685039370078741" right="0.19685039370078741" top="0.19685039370078741" bottom="0.19685039370078741" header="0.39370078740157483" footer="0.39370078740157483"/>
  <pageSetup paperSize="9" scale="85" orientation="landscape" r:id="rId1"/>
  <headerFooter alignWithMargins="0">
    <oddHeader>&amp;L&amp;F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"/>
  <sheetViews>
    <sheetView workbookViewId="0">
      <selection activeCell="C10" sqref="C10"/>
    </sheetView>
  </sheetViews>
  <sheetFormatPr defaultRowHeight="12" x14ac:dyDescent="0.15"/>
  <sheetData>
    <row r="3" spans="2:3" x14ac:dyDescent="0.15">
      <c r="B3">
        <v>2888</v>
      </c>
    </row>
    <row r="4" spans="2:3" x14ac:dyDescent="0.15">
      <c r="B4">
        <v>727</v>
      </c>
    </row>
    <row r="5" spans="2:3" x14ac:dyDescent="0.15">
      <c r="B5">
        <f>SUM(B3:B4)</f>
        <v>3615</v>
      </c>
      <c r="C5">
        <f>B5/120</f>
        <v>30.125</v>
      </c>
    </row>
    <row r="9" spans="2:3" x14ac:dyDescent="0.15">
      <c r="C9">
        <f>3660*25</f>
        <v>91500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1090604尚朋光電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</dc:creator>
  <cp:lastModifiedBy>Admin</cp:lastModifiedBy>
  <cp:lastPrinted>2020-07-23T08:43:21Z</cp:lastPrinted>
  <dcterms:created xsi:type="dcterms:W3CDTF">2003-01-10T09:54:27Z</dcterms:created>
  <dcterms:modified xsi:type="dcterms:W3CDTF">2022-01-26T08:41:42Z</dcterms:modified>
</cp:coreProperties>
</file>