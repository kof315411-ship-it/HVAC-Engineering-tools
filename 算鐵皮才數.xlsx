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AI\空調工程小工具\"/>
    </mc:Choice>
  </mc:AlternateContent>
  <bookViews>
    <workbookView xWindow="0" yWindow="0" windowWidth="15930" windowHeight="9795" tabRatio="579"/>
  </bookViews>
  <sheets>
    <sheet name="AHU-PAH" sheetId="80" r:id="rId1"/>
    <sheet name="EA" sheetId="83" r:id="rId2"/>
    <sheet name="排煙" sheetId="84" r:id="rId3"/>
    <sheet name="CO2" sheetId="85" r:id="rId4"/>
    <sheet name="立管" sheetId="88" r:id="rId5"/>
  </sheets>
  <definedNames>
    <definedName name="_xlnm.Print_Area" localSheetId="0">'AHU-PAH'!$A$1:$U$141</definedName>
    <definedName name="_xlnm.Print_Area" localSheetId="3">'CO2'!$A$1:$U$19</definedName>
    <definedName name="_xlnm.Print_Area" localSheetId="1">EA!$A$1:$U$35</definedName>
    <definedName name="_xlnm.Print_Area" localSheetId="4">立管!$A$1:$U$29</definedName>
    <definedName name="_xlnm.Print_Area" localSheetId="2">排煙!$A$1:$U$33</definedName>
  </definedNames>
  <calcPr calcId="162913"/>
</workbook>
</file>

<file path=xl/calcChain.xml><?xml version="1.0" encoding="utf-8"?>
<calcChain xmlns="http://schemas.openxmlformats.org/spreadsheetml/2006/main">
  <c r="D9" i="80" l="1"/>
  <c r="E9" i="80"/>
  <c r="F9" i="80"/>
  <c r="G9" i="80"/>
  <c r="H9" i="80"/>
  <c r="I9" i="80"/>
  <c r="J9" i="80"/>
  <c r="K9" i="80"/>
  <c r="L9" i="80"/>
  <c r="M9" i="80"/>
  <c r="R9" i="80"/>
  <c r="N9" i="80"/>
  <c r="P9" i="80"/>
  <c r="Q9" i="80"/>
  <c r="D10" i="80"/>
  <c r="K10" i="80"/>
  <c r="E10" i="80"/>
  <c r="F10" i="80"/>
  <c r="G10" i="80"/>
  <c r="H10" i="80"/>
  <c r="I10" i="80"/>
  <c r="J10" i="80"/>
  <c r="M10" i="80"/>
  <c r="S10" i="80"/>
  <c r="N10" i="80"/>
  <c r="P10" i="80"/>
  <c r="Q10" i="80"/>
  <c r="D11" i="80"/>
  <c r="E11" i="80"/>
  <c r="F11" i="80"/>
  <c r="G11" i="80"/>
  <c r="H11" i="80"/>
  <c r="I11" i="80"/>
  <c r="J11" i="80"/>
  <c r="L11" i="80"/>
  <c r="M11" i="80"/>
  <c r="O11" i="80"/>
  <c r="N11" i="80"/>
  <c r="P11" i="80"/>
  <c r="Q11" i="80"/>
  <c r="D12" i="80"/>
  <c r="E12" i="80"/>
  <c r="F12" i="80"/>
  <c r="G12" i="80"/>
  <c r="H12" i="80"/>
  <c r="I12" i="80"/>
  <c r="J12" i="80"/>
  <c r="L12" i="80"/>
  <c r="M12" i="80"/>
  <c r="N12" i="80"/>
  <c r="P12" i="80"/>
  <c r="Q12" i="80"/>
  <c r="D13" i="80"/>
  <c r="L13" i="80"/>
  <c r="E13" i="80"/>
  <c r="F13" i="80"/>
  <c r="G13" i="80"/>
  <c r="H13" i="80"/>
  <c r="I13" i="80"/>
  <c r="J13" i="80"/>
  <c r="M13" i="80"/>
  <c r="N13" i="80"/>
  <c r="N139" i="80"/>
  <c r="P13" i="80"/>
  <c r="Q13" i="80"/>
  <c r="D14" i="80"/>
  <c r="L14" i="80"/>
  <c r="E14" i="80"/>
  <c r="F14" i="80"/>
  <c r="G14" i="80"/>
  <c r="H14" i="80"/>
  <c r="I14" i="80"/>
  <c r="J14" i="80"/>
  <c r="M14" i="80"/>
  <c r="N14" i="80"/>
  <c r="P14" i="80"/>
  <c r="Q14" i="80"/>
  <c r="D15" i="80"/>
  <c r="L15" i="80"/>
  <c r="E15" i="80"/>
  <c r="F15" i="80"/>
  <c r="G15" i="80"/>
  <c r="H15" i="80"/>
  <c r="I15" i="80"/>
  <c r="J15" i="80"/>
  <c r="M15" i="80"/>
  <c r="N15" i="80"/>
  <c r="P15" i="80"/>
  <c r="Q15" i="80"/>
  <c r="D16" i="80"/>
  <c r="K16" i="80"/>
  <c r="E16" i="80"/>
  <c r="F16" i="80"/>
  <c r="G16" i="80"/>
  <c r="H16" i="80"/>
  <c r="H139" i="80"/>
  <c r="I16" i="80"/>
  <c r="J16" i="80"/>
  <c r="M16" i="80"/>
  <c r="S16" i="80"/>
  <c r="N16" i="80"/>
  <c r="O16" i="80"/>
  <c r="P16" i="80"/>
  <c r="Q16" i="80"/>
  <c r="D17" i="80"/>
  <c r="L17" i="80"/>
  <c r="E17" i="80"/>
  <c r="F17" i="80"/>
  <c r="G17" i="80"/>
  <c r="H17" i="80"/>
  <c r="I17" i="80"/>
  <c r="J17" i="80"/>
  <c r="K17" i="80"/>
  <c r="M17" i="80"/>
  <c r="N17" i="80"/>
  <c r="R17" i="80"/>
  <c r="P17" i="80"/>
  <c r="Q17" i="80"/>
  <c r="S17" i="80"/>
  <c r="D18" i="80"/>
  <c r="E18" i="80"/>
  <c r="F18" i="80"/>
  <c r="G18" i="80"/>
  <c r="H18" i="80"/>
  <c r="I18" i="80"/>
  <c r="J18" i="80"/>
  <c r="L18" i="80"/>
  <c r="M18" i="80"/>
  <c r="O18" i="80"/>
  <c r="N18" i="80"/>
  <c r="P18" i="80"/>
  <c r="Q18" i="80"/>
  <c r="D19" i="80"/>
  <c r="K19" i="80"/>
  <c r="E19" i="80"/>
  <c r="F19" i="80"/>
  <c r="G19" i="80"/>
  <c r="H19" i="80"/>
  <c r="I19" i="80"/>
  <c r="J19" i="80"/>
  <c r="M19" i="80"/>
  <c r="N19" i="80"/>
  <c r="R19" i="80"/>
  <c r="P19" i="80"/>
  <c r="Q19" i="80"/>
  <c r="D20" i="80"/>
  <c r="K20" i="80"/>
  <c r="E20" i="80"/>
  <c r="F20" i="80"/>
  <c r="G20" i="80"/>
  <c r="H20" i="80"/>
  <c r="I20" i="80"/>
  <c r="J20" i="80"/>
  <c r="M20" i="80"/>
  <c r="N20" i="80"/>
  <c r="R20" i="80"/>
  <c r="P20" i="80"/>
  <c r="Q20" i="80"/>
  <c r="D21" i="80"/>
  <c r="S21" i="80"/>
  <c r="E21" i="80"/>
  <c r="F21" i="80"/>
  <c r="G21" i="80"/>
  <c r="H21" i="80"/>
  <c r="I21" i="80"/>
  <c r="J21" i="80"/>
  <c r="M21" i="80"/>
  <c r="N21" i="80"/>
  <c r="O21" i="80"/>
  <c r="P21" i="80"/>
  <c r="Q21" i="80"/>
  <c r="D22" i="80"/>
  <c r="E22" i="80"/>
  <c r="F22" i="80"/>
  <c r="G22" i="80"/>
  <c r="H22" i="80"/>
  <c r="I22" i="80"/>
  <c r="J22" i="80"/>
  <c r="K22" i="80"/>
  <c r="L22" i="80"/>
  <c r="M22" i="80"/>
  <c r="R22" i="80"/>
  <c r="N22" i="80"/>
  <c r="P22" i="80"/>
  <c r="Q22" i="80"/>
  <c r="D23" i="80"/>
  <c r="E23" i="80"/>
  <c r="F23" i="80"/>
  <c r="G23" i="80"/>
  <c r="H23" i="80"/>
  <c r="I23" i="80"/>
  <c r="J23" i="80"/>
  <c r="M23" i="80"/>
  <c r="O23" i="80"/>
  <c r="N23" i="80"/>
  <c r="P23" i="80"/>
  <c r="Q23" i="80"/>
  <c r="D24" i="80"/>
  <c r="K24" i="80"/>
  <c r="E24" i="80"/>
  <c r="F24" i="80"/>
  <c r="G24" i="80"/>
  <c r="H24" i="80"/>
  <c r="I24" i="80"/>
  <c r="J24" i="80"/>
  <c r="M24" i="80"/>
  <c r="N24" i="80"/>
  <c r="O24" i="80"/>
  <c r="P24" i="80"/>
  <c r="Q24" i="80"/>
  <c r="D25" i="80"/>
  <c r="L25" i="80"/>
  <c r="E25" i="80"/>
  <c r="F25" i="80"/>
  <c r="G25" i="80"/>
  <c r="H25" i="80"/>
  <c r="I25" i="80"/>
  <c r="J25" i="80"/>
  <c r="K25" i="80"/>
  <c r="M25" i="80"/>
  <c r="S25" i="80"/>
  <c r="N25" i="80"/>
  <c r="P25" i="80"/>
  <c r="Q25" i="80"/>
  <c r="D26" i="80"/>
  <c r="L26" i="80"/>
  <c r="E26" i="80"/>
  <c r="F26" i="80"/>
  <c r="G26" i="80"/>
  <c r="H26" i="80"/>
  <c r="I26" i="80"/>
  <c r="J26" i="80"/>
  <c r="M26" i="80"/>
  <c r="R26" i="80"/>
  <c r="N26" i="80"/>
  <c r="P26" i="80"/>
  <c r="Q26" i="80"/>
  <c r="D27" i="80"/>
  <c r="L27" i="80"/>
  <c r="E27" i="80"/>
  <c r="F27" i="80"/>
  <c r="G27" i="80"/>
  <c r="H27" i="80"/>
  <c r="I27" i="80"/>
  <c r="J27" i="80"/>
  <c r="M27" i="80"/>
  <c r="R27" i="80"/>
  <c r="N27" i="80"/>
  <c r="P27" i="80"/>
  <c r="Q27" i="80"/>
  <c r="D28" i="80"/>
  <c r="E28" i="80"/>
  <c r="F28" i="80"/>
  <c r="G28" i="80"/>
  <c r="H28" i="80"/>
  <c r="I28" i="80"/>
  <c r="J28" i="80"/>
  <c r="M28" i="80"/>
  <c r="R28" i="80"/>
  <c r="N28" i="80"/>
  <c r="P28" i="80"/>
  <c r="Q28" i="80"/>
  <c r="D29" i="80"/>
  <c r="K29" i="80"/>
  <c r="E29" i="80"/>
  <c r="F29" i="80"/>
  <c r="G29" i="80"/>
  <c r="H29" i="80"/>
  <c r="I29" i="80"/>
  <c r="J29" i="80"/>
  <c r="L29" i="80"/>
  <c r="M29" i="80"/>
  <c r="O29" i="80"/>
  <c r="N29" i="80"/>
  <c r="P29" i="80"/>
  <c r="Q29" i="80"/>
  <c r="D30" i="80"/>
  <c r="K30" i="80"/>
  <c r="F30" i="80"/>
  <c r="G30" i="80"/>
  <c r="H30" i="80"/>
  <c r="I30" i="80"/>
  <c r="J30" i="80"/>
  <c r="M30" i="80"/>
  <c r="N30" i="80"/>
  <c r="O30" i="80"/>
  <c r="P30" i="80"/>
  <c r="Q30" i="80"/>
  <c r="D31" i="80"/>
  <c r="K31" i="80"/>
  <c r="E31" i="80"/>
  <c r="F31" i="80"/>
  <c r="G31" i="80"/>
  <c r="H31" i="80"/>
  <c r="I31" i="80"/>
  <c r="J31" i="80"/>
  <c r="M31" i="80"/>
  <c r="S31" i="80"/>
  <c r="N31" i="80"/>
  <c r="P31" i="80"/>
  <c r="Q31" i="80"/>
  <c r="D32" i="80"/>
  <c r="E32" i="80"/>
  <c r="F32" i="80"/>
  <c r="G32" i="80"/>
  <c r="H32" i="80"/>
  <c r="I32" i="80"/>
  <c r="J32" i="80"/>
  <c r="M32" i="80"/>
  <c r="N32" i="80"/>
  <c r="R32" i="80"/>
  <c r="P32" i="80"/>
  <c r="Q32" i="80"/>
  <c r="D33" i="80"/>
  <c r="K33" i="80"/>
  <c r="E33" i="80"/>
  <c r="F33" i="80"/>
  <c r="G33" i="80"/>
  <c r="H33" i="80"/>
  <c r="I33" i="80"/>
  <c r="J33" i="80"/>
  <c r="M33" i="80"/>
  <c r="R33" i="80"/>
  <c r="N33" i="80"/>
  <c r="P33" i="80"/>
  <c r="Q33" i="80"/>
  <c r="D34" i="80"/>
  <c r="K34" i="80"/>
  <c r="E34" i="80"/>
  <c r="F34" i="80"/>
  <c r="G34" i="80"/>
  <c r="H34" i="80"/>
  <c r="I34" i="80"/>
  <c r="J34" i="80"/>
  <c r="M34" i="80"/>
  <c r="N34" i="80"/>
  <c r="P34" i="80"/>
  <c r="Q34" i="80"/>
  <c r="D35" i="80"/>
  <c r="K35" i="80"/>
  <c r="E35" i="80"/>
  <c r="F35" i="80"/>
  <c r="G35" i="80"/>
  <c r="H35" i="80"/>
  <c r="I35" i="80"/>
  <c r="J35" i="80"/>
  <c r="L35" i="80"/>
  <c r="M35" i="80"/>
  <c r="N35" i="80"/>
  <c r="S35" i="80"/>
  <c r="P35" i="80"/>
  <c r="Q35" i="80"/>
  <c r="D36" i="80"/>
  <c r="L36" i="80"/>
  <c r="E36" i="80"/>
  <c r="F36" i="80"/>
  <c r="G36" i="80"/>
  <c r="H36" i="80"/>
  <c r="I36" i="80"/>
  <c r="J36" i="80"/>
  <c r="M36" i="80"/>
  <c r="N36" i="80"/>
  <c r="O36" i="80"/>
  <c r="P36" i="80"/>
  <c r="Q36" i="80"/>
  <c r="D37" i="80"/>
  <c r="L37" i="80"/>
  <c r="E37" i="80"/>
  <c r="F37" i="80"/>
  <c r="G37" i="80"/>
  <c r="H37" i="80"/>
  <c r="I37" i="80"/>
  <c r="J37" i="80"/>
  <c r="M37" i="80"/>
  <c r="N37" i="80"/>
  <c r="R37" i="80"/>
  <c r="P37" i="80"/>
  <c r="Q37" i="80"/>
  <c r="M98" i="80"/>
  <c r="R98" i="80"/>
  <c r="N98" i="80"/>
  <c r="D98" i="80"/>
  <c r="K98" i="80"/>
  <c r="Q98" i="80"/>
  <c r="P98" i="80"/>
  <c r="L98" i="80"/>
  <c r="J98" i="80"/>
  <c r="I98" i="80"/>
  <c r="H98" i="80"/>
  <c r="G98" i="80"/>
  <c r="F98" i="80"/>
  <c r="E98" i="80"/>
  <c r="M97" i="80"/>
  <c r="R97" i="80"/>
  <c r="N97" i="80"/>
  <c r="D97" i="80"/>
  <c r="Q97" i="80"/>
  <c r="P97" i="80"/>
  <c r="L97" i="80"/>
  <c r="K97" i="80"/>
  <c r="J97" i="80"/>
  <c r="I97" i="80"/>
  <c r="H97" i="80"/>
  <c r="G97" i="80"/>
  <c r="F97" i="80"/>
  <c r="E97" i="80"/>
  <c r="M96" i="80"/>
  <c r="N96" i="80"/>
  <c r="D96" i="80"/>
  <c r="L96" i="80"/>
  <c r="Q96" i="80"/>
  <c r="P96" i="80"/>
  <c r="J96" i="80"/>
  <c r="I96" i="80"/>
  <c r="H96" i="80"/>
  <c r="G96" i="80"/>
  <c r="F96" i="80"/>
  <c r="E96" i="80"/>
  <c r="M95" i="80"/>
  <c r="S95" i="80"/>
  <c r="N95" i="80"/>
  <c r="D95" i="80"/>
  <c r="Q95" i="80"/>
  <c r="P95" i="80"/>
  <c r="L95" i="80"/>
  <c r="K95" i="80"/>
  <c r="J95" i="80"/>
  <c r="I95" i="80"/>
  <c r="H95" i="80"/>
  <c r="G95" i="80"/>
  <c r="F95" i="80"/>
  <c r="E95" i="80"/>
  <c r="M94" i="80"/>
  <c r="N94" i="80"/>
  <c r="D94" i="80"/>
  <c r="Q94" i="80"/>
  <c r="P94" i="80"/>
  <c r="L94" i="80"/>
  <c r="K94" i="80"/>
  <c r="J94" i="80"/>
  <c r="I94" i="80"/>
  <c r="H94" i="80"/>
  <c r="G94" i="80"/>
  <c r="F94" i="80"/>
  <c r="E94" i="80"/>
  <c r="M93" i="80"/>
  <c r="N93" i="80"/>
  <c r="R93" i="80"/>
  <c r="D93" i="80"/>
  <c r="L93" i="80"/>
  <c r="Q93" i="80"/>
  <c r="P93" i="80"/>
  <c r="J93" i="80"/>
  <c r="I93" i="80"/>
  <c r="H93" i="80"/>
  <c r="G93" i="80"/>
  <c r="F93" i="80"/>
  <c r="E93" i="80"/>
  <c r="M92" i="80"/>
  <c r="N92" i="80"/>
  <c r="D92" i="80"/>
  <c r="L92" i="80"/>
  <c r="Q92" i="80"/>
  <c r="P92" i="80"/>
  <c r="J92" i="80"/>
  <c r="I92" i="80"/>
  <c r="H92" i="80"/>
  <c r="G92" i="80"/>
  <c r="F92" i="80"/>
  <c r="E92" i="80"/>
  <c r="M91" i="80"/>
  <c r="N91" i="80"/>
  <c r="D91" i="80"/>
  <c r="L91" i="80"/>
  <c r="Q91" i="80"/>
  <c r="P91" i="80"/>
  <c r="J91" i="80"/>
  <c r="I91" i="80"/>
  <c r="H91" i="80"/>
  <c r="G91" i="80"/>
  <c r="F91" i="80"/>
  <c r="E91" i="80"/>
  <c r="M90" i="80"/>
  <c r="N90" i="80"/>
  <c r="R90" i="80"/>
  <c r="D90" i="80"/>
  <c r="L90" i="80"/>
  <c r="Q90" i="80"/>
  <c r="P90" i="80"/>
  <c r="J90" i="80"/>
  <c r="I90" i="80"/>
  <c r="H90" i="80"/>
  <c r="G90" i="80"/>
  <c r="F90" i="80"/>
  <c r="E90" i="80"/>
  <c r="M89" i="80"/>
  <c r="N89" i="80"/>
  <c r="S89" i="80"/>
  <c r="D89" i="80"/>
  <c r="L89" i="80"/>
  <c r="Q89" i="80"/>
  <c r="P89" i="80"/>
  <c r="J89" i="80"/>
  <c r="I89" i="80"/>
  <c r="H89" i="80"/>
  <c r="G89" i="80"/>
  <c r="F89" i="80"/>
  <c r="E89" i="80"/>
  <c r="M88" i="80"/>
  <c r="N88" i="80"/>
  <c r="D88" i="80"/>
  <c r="O88" i="80"/>
  <c r="Q88" i="80"/>
  <c r="P88" i="80"/>
  <c r="J88" i="80"/>
  <c r="I88" i="80"/>
  <c r="H88" i="80"/>
  <c r="G88" i="80"/>
  <c r="F88" i="80"/>
  <c r="E88" i="80"/>
  <c r="M87" i="80"/>
  <c r="N87" i="80"/>
  <c r="S87" i="80"/>
  <c r="D87" i="80"/>
  <c r="L87" i="80"/>
  <c r="Q87" i="80"/>
  <c r="P87" i="80"/>
  <c r="J87" i="80"/>
  <c r="I87" i="80"/>
  <c r="H87" i="80"/>
  <c r="G87" i="80"/>
  <c r="F87" i="80"/>
  <c r="E87" i="80"/>
  <c r="M86" i="80"/>
  <c r="N86" i="80"/>
  <c r="D86" i="80"/>
  <c r="L86" i="80"/>
  <c r="Q86" i="80"/>
  <c r="P86" i="80"/>
  <c r="J86" i="80"/>
  <c r="I86" i="80"/>
  <c r="H86" i="80"/>
  <c r="G86" i="80"/>
  <c r="F86" i="80"/>
  <c r="E86" i="80"/>
  <c r="M85" i="80"/>
  <c r="N85" i="80"/>
  <c r="R85" i="80"/>
  <c r="D85" i="80"/>
  <c r="L85" i="80"/>
  <c r="Q85" i="80"/>
  <c r="P85" i="80"/>
  <c r="J85" i="80"/>
  <c r="I85" i="80"/>
  <c r="H85" i="80"/>
  <c r="G85" i="80"/>
  <c r="F85" i="80"/>
  <c r="E85" i="80"/>
  <c r="M84" i="80"/>
  <c r="N84" i="80"/>
  <c r="D84" i="80"/>
  <c r="L84" i="80"/>
  <c r="Q84" i="80"/>
  <c r="P84" i="80"/>
  <c r="J84" i="80"/>
  <c r="I84" i="80"/>
  <c r="H84" i="80"/>
  <c r="G84" i="80"/>
  <c r="F84" i="80"/>
  <c r="E84" i="80"/>
  <c r="M83" i="80"/>
  <c r="R83" i="80"/>
  <c r="N83" i="80"/>
  <c r="D83" i="80"/>
  <c r="Q83" i="80"/>
  <c r="P83" i="80"/>
  <c r="J83" i="80"/>
  <c r="I83" i="80"/>
  <c r="H83" i="80"/>
  <c r="G83" i="80"/>
  <c r="F83" i="80"/>
  <c r="E83" i="80"/>
  <c r="M82" i="80"/>
  <c r="N82" i="80"/>
  <c r="D82" i="80"/>
  <c r="K82" i="80"/>
  <c r="Q82" i="80"/>
  <c r="P82" i="80"/>
  <c r="L82" i="80"/>
  <c r="J82" i="80"/>
  <c r="I82" i="80"/>
  <c r="H82" i="80"/>
  <c r="G82" i="80"/>
  <c r="F82" i="80"/>
  <c r="E82" i="80"/>
  <c r="M81" i="80"/>
  <c r="N81" i="80"/>
  <c r="S81" i="80"/>
  <c r="D81" i="80"/>
  <c r="Q81" i="80"/>
  <c r="P81" i="80"/>
  <c r="L81" i="80"/>
  <c r="K81" i="80"/>
  <c r="J81" i="80"/>
  <c r="I81" i="80"/>
  <c r="H81" i="80"/>
  <c r="G81" i="80"/>
  <c r="F81" i="80"/>
  <c r="E81" i="80"/>
  <c r="M80" i="80"/>
  <c r="S80" i="80"/>
  <c r="N80" i="80"/>
  <c r="D80" i="80"/>
  <c r="L80" i="80"/>
  <c r="Q80" i="80"/>
  <c r="P80" i="80"/>
  <c r="J80" i="80"/>
  <c r="I80" i="80"/>
  <c r="H80" i="80"/>
  <c r="G80" i="80"/>
  <c r="F80" i="80"/>
  <c r="E80" i="80"/>
  <c r="M79" i="80"/>
  <c r="N79" i="80"/>
  <c r="R79" i="80"/>
  <c r="D79" i="80"/>
  <c r="Q79" i="80"/>
  <c r="P79" i="80"/>
  <c r="L79" i="80"/>
  <c r="K79" i="80"/>
  <c r="J79" i="80"/>
  <c r="I79" i="80"/>
  <c r="H79" i="80"/>
  <c r="G79" i="80"/>
  <c r="F79" i="80"/>
  <c r="E79" i="80"/>
  <c r="M78" i="80"/>
  <c r="S78" i="80"/>
  <c r="N78" i="80"/>
  <c r="D78" i="80"/>
  <c r="L78" i="80"/>
  <c r="Q78" i="80"/>
  <c r="P78" i="80"/>
  <c r="K78" i="80"/>
  <c r="J78" i="80"/>
  <c r="I78" i="80"/>
  <c r="H78" i="80"/>
  <c r="G78" i="80"/>
  <c r="F78" i="80"/>
  <c r="E78" i="80"/>
  <c r="M77" i="80"/>
  <c r="N77" i="80"/>
  <c r="D77" i="80"/>
  <c r="L77" i="80"/>
  <c r="Q77" i="80"/>
  <c r="P77" i="80"/>
  <c r="J77" i="80"/>
  <c r="I77" i="80"/>
  <c r="H77" i="80"/>
  <c r="G77" i="80"/>
  <c r="F77" i="80"/>
  <c r="E77" i="80"/>
  <c r="M76" i="80"/>
  <c r="N76" i="80"/>
  <c r="D76" i="80"/>
  <c r="L76" i="80"/>
  <c r="Q76" i="80"/>
  <c r="P76" i="80"/>
  <c r="J76" i="80"/>
  <c r="I76" i="80"/>
  <c r="H76" i="80"/>
  <c r="G76" i="80"/>
  <c r="F76" i="80"/>
  <c r="E76" i="80"/>
  <c r="M75" i="80"/>
  <c r="N75" i="80"/>
  <c r="S75" i="80"/>
  <c r="D75" i="80"/>
  <c r="L75" i="80"/>
  <c r="Q75" i="80"/>
  <c r="P75" i="80"/>
  <c r="J75" i="80"/>
  <c r="I75" i="80"/>
  <c r="H75" i="80"/>
  <c r="G75" i="80"/>
  <c r="F75" i="80"/>
  <c r="E75" i="80"/>
  <c r="M74" i="80"/>
  <c r="N74" i="80"/>
  <c r="D74" i="80"/>
  <c r="K74" i="80"/>
  <c r="Q74" i="80"/>
  <c r="P74" i="80"/>
  <c r="J74" i="80"/>
  <c r="I74" i="80"/>
  <c r="H74" i="80"/>
  <c r="G74" i="80"/>
  <c r="F74" i="80"/>
  <c r="E74" i="80"/>
  <c r="M73" i="80"/>
  <c r="N73" i="80"/>
  <c r="D73" i="80"/>
  <c r="L73" i="80"/>
  <c r="Q73" i="80"/>
  <c r="P73" i="80"/>
  <c r="J73" i="80"/>
  <c r="I73" i="80"/>
  <c r="H73" i="80"/>
  <c r="G73" i="80"/>
  <c r="F73" i="80"/>
  <c r="E73" i="80"/>
  <c r="M72" i="80"/>
  <c r="N72" i="80"/>
  <c r="S72" i="80"/>
  <c r="D72" i="80"/>
  <c r="L72" i="80"/>
  <c r="Q72" i="80"/>
  <c r="P72" i="80"/>
  <c r="J72" i="80"/>
  <c r="I72" i="80"/>
  <c r="H72" i="80"/>
  <c r="G72" i="80"/>
  <c r="F72" i="80"/>
  <c r="E72" i="80"/>
  <c r="M71" i="80"/>
  <c r="S71" i="80"/>
  <c r="N71" i="80"/>
  <c r="D71" i="80"/>
  <c r="L71" i="80"/>
  <c r="Q71" i="80"/>
  <c r="P71" i="80"/>
  <c r="J71" i="80"/>
  <c r="I71" i="80"/>
  <c r="H71" i="80"/>
  <c r="G71" i="80"/>
  <c r="F71" i="80"/>
  <c r="E71" i="80"/>
  <c r="M70" i="80"/>
  <c r="R70" i="80"/>
  <c r="N70" i="80"/>
  <c r="S70" i="80"/>
  <c r="D70" i="80"/>
  <c r="K70" i="80"/>
  <c r="Q70" i="80"/>
  <c r="P70" i="80"/>
  <c r="L70" i="80"/>
  <c r="J70" i="80"/>
  <c r="I70" i="80"/>
  <c r="H70" i="80"/>
  <c r="G70" i="80"/>
  <c r="F70" i="80"/>
  <c r="E70" i="80"/>
  <c r="M69" i="80"/>
  <c r="S69" i="80"/>
  <c r="N69" i="80"/>
  <c r="D69" i="80"/>
  <c r="Q69" i="80"/>
  <c r="P69" i="80"/>
  <c r="J69" i="80"/>
  <c r="I69" i="80"/>
  <c r="H69" i="80"/>
  <c r="G69" i="80"/>
  <c r="F69" i="80"/>
  <c r="E69" i="80"/>
  <c r="M68" i="80"/>
  <c r="N68" i="80"/>
  <c r="R68" i="80"/>
  <c r="D68" i="80"/>
  <c r="L68" i="80"/>
  <c r="Q68" i="80"/>
  <c r="P68" i="80"/>
  <c r="J68" i="80"/>
  <c r="I68" i="80"/>
  <c r="H68" i="80"/>
  <c r="G68" i="80"/>
  <c r="F68" i="80"/>
  <c r="E68" i="80"/>
  <c r="M67" i="80"/>
  <c r="N67" i="80"/>
  <c r="D67" i="80"/>
  <c r="K67" i="80"/>
  <c r="Q67" i="80"/>
  <c r="P67" i="80"/>
  <c r="J67" i="80"/>
  <c r="I67" i="80"/>
  <c r="H67" i="80"/>
  <c r="G67" i="80"/>
  <c r="F67" i="80"/>
  <c r="E67" i="80"/>
  <c r="M66" i="80"/>
  <c r="O66" i="80"/>
  <c r="N66" i="80"/>
  <c r="D66" i="80"/>
  <c r="L66" i="80"/>
  <c r="Q66" i="80"/>
  <c r="P66" i="80"/>
  <c r="J66" i="80"/>
  <c r="I66" i="80"/>
  <c r="H66" i="80"/>
  <c r="G66" i="80"/>
  <c r="F66" i="80"/>
  <c r="E66" i="80"/>
  <c r="M65" i="80"/>
  <c r="N65" i="80"/>
  <c r="D65" i="80"/>
  <c r="L65" i="80"/>
  <c r="Q65" i="80"/>
  <c r="P65" i="80"/>
  <c r="J65" i="80"/>
  <c r="I65" i="80"/>
  <c r="H65" i="80"/>
  <c r="G65" i="80"/>
  <c r="F65" i="80"/>
  <c r="E65" i="80"/>
  <c r="M64" i="80"/>
  <c r="N64" i="80"/>
  <c r="S64" i="80"/>
  <c r="D64" i="80"/>
  <c r="Q64" i="80"/>
  <c r="P64" i="80"/>
  <c r="L64" i="80"/>
  <c r="K64" i="80"/>
  <c r="J64" i="80"/>
  <c r="I64" i="80"/>
  <c r="H64" i="80"/>
  <c r="G64" i="80"/>
  <c r="F64" i="80"/>
  <c r="E64" i="80"/>
  <c r="M63" i="80"/>
  <c r="R63" i="80"/>
  <c r="N63" i="80"/>
  <c r="D63" i="80"/>
  <c r="K63" i="80"/>
  <c r="Q63" i="80"/>
  <c r="P63" i="80"/>
  <c r="L63" i="80"/>
  <c r="J63" i="80"/>
  <c r="I63" i="80"/>
  <c r="H63" i="80"/>
  <c r="G63" i="80"/>
  <c r="F63" i="80"/>
  <c r="E63" i="80"/>
  <c r="M62" i="80"/>
  <c r="N62" i="80"/>
  <c r="D62" i="80"/>
  <c r="L62" i="80"/>
  <c r="Q62" i="80"/>
  <c r="P62" i="80"/>
  <c r="J62" i="80"/>
  <c r="I62" i="80"/>
  <c r="H62" i="80"/>
  <c r="G62" i="80"/>
  <c r="F62" i="80"/>
  <c r="E62" i="80"/>
  <c r="M61" i="80"/>
  <c r="R61" i="80"/>
  <c r="N61" i="80"/>
  <c r="D61" i="80"/>
  <c r="L61" i="80"/>
  <c r="Q61" i="80"/>
  <c r="P61" i="80"/>
  <c r="J61" i="80"/>
  <c r="I61" i="80"/>
  <c r="H61" i="80"/>
  <c r="G61" i="80"/>
  <c r="F61" i="80"/>
  <c r="E61" i="80"/>
  <c r="M60" i="80"/>
  <c r="N60" i="80"/>
  <c r="D60" i="80"/>
  <c r="L60" i="80"/>
  <c r="Q60" i="80"/>
  <c r="P60" i="80"/>
  <c r="K60" i="80"/>
  <c r="J60" i="80"/>
  <c r="I60" i="80"/>
  <c r="H60" i="80"/>
  <c r="G60" i="80"/>
  <c r="F60" i="80"/>
  <c r="E60" i="80"/>
  <c r="M59" i="80"/>
  <c r="N59" i="80"/>
  <c r="S59" i="80"/>
  <c r="D59" i="80"/>
  <c r="K59" i="80"/>
  <c r="Q59" i="80"/>
  <c r="P59" i="80"/>
  <c r="L59" i="80"/>
  <c r="J59" i="80"/>
  <c r="I59" i="80"/>
  <c r="H59" i="80"/>
  <c r="G59" i="80"/>
  <c r="F59" i="80"/>
  <c r="E59" i="80"/>
  <c r="M58" i="80"/>
  <c r="N58" i="80"/>
  <c r="S58" i="80"/>
  <c r="D58" i="80"/>
  <c r="L58" i="80"/>
  <c r="Q58" i="80"/>
  <c r="P58" i="80"/>
  <c r="K58" i="80"/>
  <c r="J58" i="80"/>
  <c r="I58" i="80"/>
  <c r="H58" i="80"/>
  <c r="G58" i="80"/>
  <c r="F58" i="80"/>
  <c r="E58" i="80"/>
  <c r="M57" i="80"/>
  <c r="N57" i="80"/>
  <c r="O57" i="80"/>
  <c r="D57" i="80"/>
  <c r="Q57" i="80"/>
  <c r="P57" i="80"/>
  <c r="L57" i="80"/>
  <c r="K57" i="80"/>
  <c r="J57" i="80"/>
  <c r="I57" i="80"/>
  <c r="H57" i="80"/>
  <c r="G57" i="80"/>
  <c r="F57" i="80"/>
  <c r="E57" i="80"/>
  <c r="M56" i="80"/>
  <c r="O56" i="80"/>
  <c r="N56" i="80"/>
  <c r="D56" i="80"/>
  <c r="L56" i="80"/>
  <c r="Q56" i="80"/>
  <c r="P56" i="80"/>
  <c r="K56" i="80"/>
  <c r="J56" i="80"/>
  <c r="I56" i="80"/>
  <c r="H56" i="80"/>
  <c r="G56" i="80"/>
  <c r="F56" i="80"/>
  <c r="E56" i="80"/>
  <c r="M55" i="80"/>
  <c r="N55" i="80"/>
  <c r="D55" i="80"/>
  <c r="O55" i="80"/>
  <c r="Q55" i="80"/>
  <c r="P55" i="80"/>
  <c r="J55" i="80"/>
  <c r="I55" i="80"/>
  <c r="H55" i="80"/>
  <c r="G55" i="80"/>
  <c r="F55" i="80"/>
  <c r="E55" i="80"/>
  <c r="M54" i="80"/>
  <c r="N54" i="80"/>
  <c r="R54" i="80"/>
  <c r="D54" i="80"/>
  <c r="L54" i="80"/>
  <c r="Q54" i="80"/>
  <c r="P54" i="80"/>
  <c r="J54" i="80"/>
  <c r="I54" i="80"/>
  <c r="H54" i="80"/>
  <c r="G54" i="80"/>
  <c r="F54" i="80"/>
  <c r="E54" i="80"/>
  <c r="M134" i="80"/>
  <c r="N134" i="80"/>
  <c r="D134" i="80"/>
  <c r="L134" i="80"/>
  <c r="Q134" i="80"/>
  <c r="P134" i="80"/>
  <c r="J134" i="80"/>
  <c r="I134" i="80"/>
  <c r="H134" i="80"/>
  <c r="G134" i="80"/>
  <c r="F134" i="80"/>
  <c r="E134" i="80"/>
  <c r="M133" i="80"/>
  <c r="R133" i="80"/>
  <c r="N133" i="80"/>
  <c r="D133" i="80"/>
  <c r="L133" i="80"/>
  <c r="Q133" i="80"/>
  <c r="P133" i="80"/>
  <c r="J133" i="80"/>
  <c r="I133" i="80"/>
  <c r="H133" i="80"/>
  <c r="G133" i="80"/>
  <c r="F133" i="80"/>
  <c r="E133" i="80"/>
  <c r="M132" i="80"/>
  <c r="N132" i="80"/>
  <c r="S132" i="80"/>
  <c r="D132" i="80"/>
  <c r="Q132" i="80"/>
  <c r="P132" i="80"/>
  <c r="L132" i="80"/>
  <c r="K132" i="80"/>
  <c r="J132" i="80"/>
  <c r="I132" i="80"/>
  <c r="H132" i="80"/>
  <c r="G132" i="80"/>
  <c r="F132" i="80"/>
  <c r="E132" i="80"/>
  <c r="M131" i="80"/>
  <c r="S131" i="80"/>
  <c r="N131" i="80"/>
  <c r="D131" i="80"/>
  <c r="L131" i="80"/>
  <c r="Q131" i="80"/>
  <c r="P131" i="80"/>
  <c r="K131" i="80"/>
  <c r="J131" i="80"/>
  <c r="I131" i="80"/>
  <c r="H131" i="80"/>
  <c r="G131" i="80"/>
  <c r="F131" i="80"/>
  <c r="E131" i="80"/>
  <c r="M130" i="80"/>
  <c r="N130" i="80"/>
  <c r="D130" i="80"/>
  <c r="L130" i="80"/>
  <c r="Q130" i="80"/>
  <c r="P130" i="80"/>
  <c r="J130" i="80"/>
  <c r="I130" i="80"/>
  <c r="H130" i="80"/>
  <c r="G130" i="80"/>
  <c r="F130" i="80"/>
  <c r="E130" i="80"/>
  <c r="M129" i="80"/>
  <c r="N129" i="80"/>
  <c r="D129" i="80"/>
  <c r="L129" i="80"/>
  <c r="Q129" i="80"/>
  <c r="P129" i="80"/>
  <c r="J129" i="80"/>
  <c r="I129" i="80"/>
  <c r="H129" i="80"/>
  <c r="G129" i="80"/>
  <c r="F129" i="80"/>
  <c r="E129" i="80"/>
  <c r="M128" i="80"/>
  <c r="N128" i="80"/>
  <c r="D128" i="80"/>
  <c r="L128" i="80"/>
  <c r="Q128" i="80"/>
  <c r="P128" i="80"/>
  <c r="J128" i="80"/>
  <c r="I128" i="80"/>
  <c r="H128" i="80"/>
  <c r="G128" i="80"/>
  <c r="F128" i="80"/>
  <c r="E128" i="80"/>
  <c r="M127" i="80"/>
  <c r="R127" i="80"/>
  <c r="N127" i="80"/>
  <c r="O127" i="80"/>
  <c r="D127" i="80"/>
  <c r="L127" i="80"/>
  <c r="Q127" i="80"/>
  <c r="P127" i="80"/>
  <c r="J127" i="80"/>
  <c r="I127" i="80"/>
  <c r="H127" i="80"/>
  <c r="G127" i="80"/>
  <c r="F127" i="80"/>
  <c r="E127" i="80"/>
  <c r="M126" i="80"/>
  <c r="N126" i="80"/>
  <c r="D126" i="80"/>
  <c r="L126" i="80"/>
  <c r="Q126" i="80"/>
  <c r="P126" i="80"/>
  <c r="J126" i="80"/>
  <c r="I126" i="80"/>
  <c r="H126" i="80"/>
  <c r="G126" i="80"/>
  <c r="F126" i="80"/>
  <c r="E126" i="80"/>
  <c r="M125" i="80"/>
  <c r="N125" i="80"/>
  <c r="O125" i="80"/>
  <c r="D125" i="80"/>
  <c r="L125" i="80"/>
  <c r="Q125" i="80"/>
  <c r="P125" i="80"/>
  <c r="J125" i="80"/>
  <c r="I125" i="80"/>
  <c r="H125" i="80"/>
  <c r="G125" i="80"/>
  <c r="F125" i="80"/>
  <c r="E125" i="80"/>
  <c r="M124" i="80"/>
  <c r="R124" i="80"/>
  <c r="N124" i="80"/>
  <c r="D124" i="80"/>
  <c r="L124" i="80"/>
  <c r="Q124" i="80"/>
  <c r="P124" i="80"/>
  <c r="J124" i="80"/>
  <c r="I124" i="80"/>
  <c r="H124" i="80"/>
  <c r="G124" i="80"/>
  <c r="F124" i="80"/>
  <c r="E124" i="80"/>
  <c r="M123" i="80"/>
  <c r="S123" i="80"/>
  <c r="N123" i="80"/>
  <c r="D123" i="80"/>
  <c r="L123" i="80"/>
  <c r="Q123" i="80"/>
  <c r="P123" i="80"/>
  <c r="K123" i="80"/>
  <c r="J123" i="80"/>
  <c r="I123" i="80"/>
  <c r="H123" i="80"/>
  <c r="G123" i="80"/>
  <c r="F123" i="80"/>
  <c r="E123" i="80"/>
  <c r="M122" i="80"/>
  <c r="S122" i="80"/>
  <c r="N122" i="80"/>
  <c r="D122" i="80"/>
  <c r="Q122" i="80"/>
  <c r="P122" i="80"/>
  <c r="L122" i="80"/>
  <c r="K122" i="80"/>
  <c r="J122" i="80"/>
  <c r="I122" i="80"/>
  <c r="H122" i="80"/>
  <c r="G122" i="80"/>
  <c r="F122" i="80"/>
  <c r="E122" i="80"/>
  <c r="M121" i="80"/>
  <c r="R121" i="80"/>
  <c r="N121" i="80"/>
  <c r="D121" i="80"/>
  <c r="L121" i="80"/>
  <c r="Q121" i="80"/>
  <c r="P121" i="80"/>
  <c r="J121" i="80"/>
  <c r="I121" i="80"/>
  <c r="H121" i="80"/>
  <c r="G121" i="80"/>
  <c r="F121" i="80"/>
  <c r="E121" i="80"/>
  <c r="M120" i="80"/>
  <c r="S120" i="80"/>
  <c r="N120" i="80"/>
  <c r="D120" i="80"/>
  <c r="L120" i="80"/>
  <c r="Q120" i="80"/>
  <c r="P120" i="80"/>
  <c r="K120" i="80"/>
  <c r="J120" i="80"/>
  <c r="I120" i="80"/>
  <c r="H120" i="80"/>
  <c r="G120" i="80"/>
  <c r="F120" i="80"/>
  <c r="E120" i="80"/>
  <c r="M119" i="80"/>
  <c r="S119" i="80"/>
  <c r="N119" i="80"/>
  <c r="D119" i="80"/>
  <c r="Q119" i="80"/>
  <c r="P119" i="80"/>
  <c r="L119" i="80"/>
  <c r="K119" i="80"/>
  <c r="J119" i="80"/>
  <c r="I119" i="80"/>
  <c r="H119" i="80"/>
  <c r="G119" i="80"/>
  <c r="F119" i="80"/>
  <c r="E119" i="80"/>
  <c r="M118" i="80"/>
  <c r="N118" i="80"/>
  <c r="O118" i="80"/>
  <c r="D118" i="80"/>
  <c r="L118" i="80"/>
  <c r="Q118" i="80"/>
  <c r="P118" i="80"/>
  <c r="J118" i="80"/>
  <c r="I118" i="80"/>
  <c r="H118" i="80"/>
  <c r="G118" i="80"/>
  <c r="F118" i="80"/>
  <c r="E118" i="80"/>
  <c r="M117" i="80"/>
  <c r="N117" i="80"/>
  <c r="D117" i="80"/>
  <c r="L117" i="80"/>
  <c r="Q117" i="80"/>
  <c r="P117" i="80"/>
  <c r="K117" i="80"/>
  <c r="J117" i="80"/>
  <c r="I117" i="80"/>
  <c r="H117" i="80"/>
  <c r="G117" i="80"/>
  <c r="F117" i="80"/>
  <c r="E117" i="80"/>
  <c r="M116" i="80"/>
  <c r="N116" i="80"/>
  <c r="O116" i="80"/>
  <c r="D116" i="80"/>
  <c r="Q116" i="80"/>
  <c r="P116" i="80"/>
  <c r="L116" i="80"/>
  <c r="K116" i="80"/>
  <c r="J116" i="80"/>
  <c r="I116" i="80"/>
  <c r="H116" i="80"/>
  <c r="G116" i="80"/>
  <c r="F116" i="80"/>
  <c r="E116" i="80"/>
  <c r="M115" i="80"/>
  <c r="N115" i="80"/>
  <c r="D115" i="80"/>
  <c r="L115" i="80"/>
  <c r="R115" i="80"/>
  <c r="Q115" i="80"/>
  <c r="P115" i="80"/>
  <c r="J115" i="80"/>
  <c r="I115" i="80"/>
  <c r="H115" i="80"/>
  <c r="G115" i="80"/>
  <c r="F115" i="80"/>
  <c r="E115" i="80"/>
  <c r="M114" i="80"/>
  <c r="S114" i="80"/>
  <c r="N114" i="80"/>
  <c r="D114" i="80"/>
  <c r="Q114" i="80"/>
  <c r="P114" i="80"/>
  <c r="J114" i="80"/>
  <c r="I114" i="80"/>
  <c r="H114" i="80"/>
  <c r="G114" i="80"/>
  <c r="F114" i="80"/>
  <c r="E114" i="80"/>
  <c r="M113" i="80"/>
  <c r="N113" i="80"/>
  <c r="D113" i="80"/>
  <c r="Q113" i="80"/>
  <c r="P113" i="80"/>
  <c r="J113" i="80"/>
  <c r="I113" i="80"/>
  <c r="H113" i="80"/>
  <c r="G113" i="80"/>
  <c r="F113" i="80"/>
  <c r="E113" i="80"/>
  <c r="M112" i="80"/>
  <c r="S112" i="80"/>
  <c r="N112" i="80"/>
  <c r="D112" i="80"/>
  <c r="Q112" i="80"/>
  <c r="P112" i="80"/>
  <c r="J112" i="80"/>
  <c r="I112" i="80"/>
  <c r="H112" i="80"/>
  <c r="G112" i="80"/>
  <c r="F112" i="80"/>
  <c r="E112" i="80"/>
  <c r="M111" i="80"/>
  <c r="R111" i="80"/>
  <c r="N111" i="80"/>
  <c r="D111" i="80"/>
  <c r="Q111" i="80"/>
  <c r="P111" i="80"/>
  <c r="J111" i="80"/>
  <c r="I111" i="80"/>
  <c r="H111" i="80"/>
  <c r="G111" i="80"/>
  <c r="F111" i="80"/>
  <c r="E111" i="80"/>
  <c r="M110" i="80"/>
  <c r="S110" i="80"/>
  <c r="N110" i="80"/>
  <c r="D110" i="80"/>
  <c r="Q110" i="80"/>
  <c r="P110" i="80"/>
  <c r="O110" i="80"/>
  <c r="J110" i="80"/>
  <c r="I110" i="80"/>
  <c r="H110" i="80"/>
  <c r="G110" i="80"/>
  <c r="F110" i="80"/>
  <c r="E110" i="80"/>
  <c r="M109" i="80"/>
  <c r="O109" i="80"/>
  <c r="N109" i="80"/>
  <c r="D109" i="80"/>
  <c r="L109" i="80"/>
  <c r="Q109" i="80"/>
  <c r="P109" i="80"/>
  <c r="J109" i="80"/>
  <c r="I109" i="80"/>
  <c r="H109" i="80"/>
  <c r="G109" i="80"/>
  <c r="F109" i="80"/>
  <c r="E109" i="80"/>
  <c r="M108" i="80"/>
  <c r="R108" i="80"/>
  <c r="N108" i="80"/>
  <c r="D108" i="80"/>
  <c r="Q108" i="80"/>
  <c r="P108" i="80"/>
  <c r="J108" i="80"/>
  <c r="I108" i="80"/>
  <c r="H108" i="80"/>
  <c r="G108" i="80"/>
  <c r="F108" i="80"/>
  <c r="E108" i="80"/>
  <c r="M9" i="85"/>
  <c r="N9" i="85"/>
  <c r="O9" i="85"/>
  <c r="O17" i="85"/>
  <c r="D9" i="85"/>
  <c r="L9" i="85"/>
  <c r="Q9" i="85"/>
  <c r="Q10" i="85"/>
  <c r="Q17" i="85"/>
  <c r="Q11" i="85"/>
  <c r="Q12" i="85"/>
  <c r="Q13" i="85"/>
  <c r="Q14" i="85"/>
  <c r="Q15" i="85"/>
  <c r="P9" i="85"/>
  <c r="P10" i="85"/>
  <c r="P11" i="85"/>
  <c r="P17" i="85"/>
  <c r="P12" i="85"/>
  <c r="P13" i="85"/>
  <c r="P14" i="85"/>
  <c r="P15" i="85"/>
  <c r="D10" i="85"/>
  <c r="D11" i="85"/>
  <c r="D17" i="85"/>
  <c r="D12" i="85"/>
  <c r="L12" i="85"/>
  <c r="D13" i="85"/>
  <c r="L13" i="85"/>
  <c r="D14" i="85"/>
  <c r="D15" i="85"/>
  <c r="L15" i="85"/>
  <c r="K9" i="85"/>
  <c r="K12" i="85"/>
  <c r="J9" i="85"/>
  <c r="J10" i="85"/>
  <c r="J11" i="85"/>
  <c r="J12" i="85"/>
  <c r="J13" i="85"/>
  <c r="J14" i="85"/>
  <c r="J15" i="85"/>
  <c r="J17" i="85"/>
  <c r="C17" i="85"/>
  <c r="M9" i="84"/>
  <c r="S9" i="84"/>
  <c r="S31" i="84"/>
  <c r="N9" i="84"/>
  <c r="D9" i="84"/>
  <c r="O9" i="84"/>
  <c r="O31" i="84"/>
  <c r="M10" i="84"/>
  <c r="N10" i="84"/>
  <c r="D10" i="84"/>
  <c r="L10" i="84"/>
  <c r="S10" i="84"/>
  <c r="M11" i="84"/>
  <c r="O11" i="84"/>
  <c r="N11" i="84"/>
  <c r="D11" i="84"/>
  <c r="M12" i="84"/>
  <c r="O12" i="84"/>
  <c r="N12" i="84"/>
  <c r="D12" i="84"/>
  <c r="K12" i="84"/>
  <c r="L12" i="84"/>
  <c r="M13" i="84"/>
  <c r="R13" i="84"/>
  <c r="N13" i="84"/>
  <c r="D13" i="84"/>
  <c r="Q9" i="84"/>
  <c r="Q10" i="84"/>
  <c r="Q11" i="84"/>
  <c r="Q12" i="84"/>
  <c r="Q13" i="84"/>
  <c r="Q14" i="84"/>
  <c r="Q15" i="84"/>
  <c r="Q31" i="84"/>
  <c r="Q16" i="84"/>
  <c r="Q17" i="84"/>
  <c r="Q18" i="84"/>
  <c r="Q19" i="84"/>
  <c r="Q20" i="84"/>
  <c r="Q21" i="84"/>
  <c r="Q22" i="84"/>
  <c r="Q23" i="84"/>
  <c r="Q24" i="84"/>
  <c r="Q25" i="84"/>
  <c r="Q26" i="84"/>
  <c r="Q27" i="84"/>
  <c r="Q28" i="84"/>
  <c r="Q29" i="84"/>
  <c r="P9" i="84"/>
  <c r="P10" i="84"/>
  <c r="P11" i="84"/>
  <c r="P12" i="84"/>
  <c r="P31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D14" i="84"/>
  <c r="D15" i="84"/>
  <c r="K15" i="84"/>
  <c r="D16" i="84"/>
  <c r="L16" i="84"/>
  <c r="D17" i="84"/>
  <c r="L17" i="84"/>
  <c r="D18" i="84"/>
  <c r="L18" i="84"/>
  <c r="D19" i="84"/>
  <c r="L19" i="84"/>
  <c r="D20" i="84"/>
  <c r="K20" i="84"/>
  <c r="L20" i="84"/>
  <c r="D21" i="84"/>
  <c r="K21" i="84"/>
  <c r="L21" i="84"/>
  <c r="D22" i="84"/>
  <c r="D23" i="84"/>
  <c r="K23" i="84"/>
  <c r="L23" i="84"/>
  <c r="D24" i="84"/>
  <c r="L24" i="84"/>
  <c r="D25" i="84"/>
  <c r="L25" i="84"/>
  <c r="D26" i="84"/>
  <c r="S26" i="84"/>
  <c r="D27" i="84"/>
  <c r="L27" i="84"/>
  <c r="D28" i="84"/>
  <c r="K28" i="84"/>
  <c r="L28" i="84"/>
  <c r="D29" i="84"/>
  <c r="K29" i="84"/>
  <c r="L29" i="84"/>
  <c r="K11" i="84"/>
  <c r="K19" i="84"/>
  <c r="K24" i="84"/>
  <c r="J9" i="84"/>
  <c r="J10" i="84"/>
  <c r="J11" i="84"/>
  <c r="J12" i="84"/>
  <c r="J31" i="84"/>
  <c r="J13" i="84"/>
  <c r="J14" i="84"/>
  <c r="J15" i="84"/>
  <c r="J16" i="84"/>
  <c r="J17" i="84"/>
  <c r="J18" i="84"/>
  <c r="J19" i="84"/>
  <c r="J20" i="84"/>
  <c r="J21" i="84"/>
  <c r="J22" i="84"/>
  <c r="J23" i="84"/>
  <c r="J24" i="84"/>
  <c r="J25" i="84"/>
  <c r="J26" i="84"/>
  <c r="J27" i="84"/>
  <c r="J28" i="84"/>
  <c r="J29" i="84"/>
  <c r="C31" i="84"/>
  <c r="M15" i="83"/>
  <c r="N15" i="83"/>
  <c r="O15" i="83"/>
  <c r="D15" i="83"/>
  <c r="K15" i="83"/>
  <c r="M9" i="83"/>
  <c r="S9" i="83"/>
  <c r="S33" i="83"/>
  <c r="N9" i="83"/>
  <c r="D9" i="83"/>
  <c r="M9" i="88"/>
  <c r="N9" i="88"/>
  <c r="S9" i="88"/>
  <c r="S27" i="88"/>
  <c r="D9" i="88"/>
  <c r="J38" i="80"/>
  <c r="J39" i="80"/>
  <c r="J40" i="80"/>
  <c r="J41" i="80"/>
  <c r="J42" i="80"/>
  <c r="J43" i="80"/>
  <c r="J44" i="80"/>
  <c r="J45" i="80"/>
  <c r="J46" i="80"/>
  <c r="J47" i="80"/>
  <c r="J48" i="80"/>
  <c r="J49" i="80"/>
  <c r="J50" i="80"/>
  <c r="J51" i="80"/>
  <c r="J52" i="80"/>
  <c r="J53" i="80"/>
  <c r="J99" i="80"/>
  <c r="J100" i="80"/>
  <c r="J101" i="80"/>
  <c r="J102" i="80"/>
  <c r="J103" i="80"/>
  <c r="J104" i="80"/>
  <c r="J105" i="80"/>
  <c r="J106" i="80"/>
  <c r="J107" i="80"/>
  <c r="J135" i="80"/>
  <c r="J136" i="80"/>
  <c r="J137" i="80"/>
  <c r="J15" i="83"/>
  <c r="J16" i="83"/>
  <c r="J17" i="83"/>
  <c r="J18" i="83"/>
  <c r="J19" i="83"/>
  <c r="J20" i="83"/>
  <c r="J21" i="83"/>
  <c r="J22" i="83"/>
  <c r="J23" i="83"/>
  <c r="J24" i="83"/>
  <c r="J25" i="83"/>
  <c r="J26" i="83"/>
  <c r="J27" i="83"/>
  <c r="J28" i="83"/>
  <c r="J29" i="83"/>
  <c r="J30" i="83"/>
  <c r="J31" i="83"/>
  <c r="J9" i="83"/>
  <c r="J10" i="83"/>
  <c r="J11" i="83"/>
  <c r="J12" i="83"/>
  <c r="J13" i="83"/>
  <c r="J14" i="83"/>
  <c r="J33" i="83"/>
  <c r="J9" i="88"/>
  <c r="J10" i="88"/>
  <c r="J11" i="88"/>
  <c r="J12" i="88"/>
  <c r="J13" i="88"/>
  <c r="J14" i="88"/>
  <c r="J15" i="88"/>
  <c r="J16" i="88"/>
  <c r="J17" i="88"/>
  <c r="J18" i="88"/>
  <c r="J19" i="88"/>
  <c r="J20" i="88"/>
  <c r="J21" i="88"/>
  <c r="J22" i="88"/>
  <c r="J23" i="88"/>
  <c r="J24" i="88"/>
  <c r="J25" i="88"/>
  <c r="D38" i="80"/>
  <c r="K38" i="80"/>
  <c r="D39" i="80"/>
  <c r="L39" i="80"/>
  <c r="D40" i="80"/>
  <c r="L40" i="80"/>
  <c r="D41" i="80"/>
  <c r="K41" i="80"/>
  <c r="D42" i="80"/>
  <c r="L42" i="80"/>
  <c r="D43" i="80"/>
  <c r="K43" i="80"/>
  <c r="D44" i="80"/>
  <c r="K44" i="80"/>
  <c r="D45" i="80"/>
  <c r="K45" i="80"/>
  <c r="D46" i="80"/>
  <c r="L46" i="80"/>
  <c r="K46" i="80"/>
  <c r="D47" i="80"/>
  <c r="K47" i="80"/>
  <c r="D48" i="80"/>
  <c r="K48" i="80"/>
  <c r="D49" i="80"/>
  <c r="L49" i="80"/>
  <c r="D50" i="80"/>
  <c r="L50" i="80"/>
  <c r="D51" i="80"/>
  <c r="L51" i="80"/>
  <c r="D52" i="80"/>
  <c r="D53" i="80"/>
  <c r="L53" i="80"/>
  <c r="K53" i="80"/>
  <c r="D99" i="80"/>
  <c r="L99" i="80"/>
  <c r="D100" i="80"/>
  <c r="L100" i="80"/>
  <c r="D101" i="80"/>
  <c r="D102" i="80"/>
  <c r="D103" i="80"/>
  <c r="L103" i="80"/>
  <c r="D104" i="80"/>
  <c r="K104" i="80"/>
  <c r="D105" i="80"/>
  <c r="D106" i="80"/>
  <c r="K106" i="80"/>
  <c r="D107" i="80"/>
  <c r="K107" i="80"/>
  <c r="D135" i="80"/>
  <c r="K135" i="80"/>
  <c r="D136" i="80"/>
  <c r="K136" i="80"/>
  <c r="D137" i="80"/>
  <c r="K137" i="80"/>
  <c r="D16" i="83"/>
  <c r="L16" i="83"/>
  <c r="D17" i="83"/>
  <c r="R17" i="83"/>
  <c r="D18" i="83"/>
  <c r="K18" i="83"/>
  <c r="D19" i="83"/>
  <c r="K19" i="83"/>
  <c r="D20" i="83"/>
  <c r="L20" i="83"/>
  <c r="K20" i="83"/>
  <c r="D21" i="83"/>
  <c r="K21" i="83"/>
  <c r="D22" i="83"/>
  <c r="D23" i="83"/>
  <c r="L23" i="83"/>
  <c r="D24" i="83"/>
  <c r="L24" i="83"/>
  <c r="D25" i="83"/>
  <c r="D26" i="83"/>
  <c r="D27" i="83"/>
  <c r="D28" i="83"/>
  <c r="L28" i="83"/>
  <c r="D29" i="83"/>
  <c r="K29" i="83"/>
  <c r="D30" i="83"/>
  <c r="D31" i="83"/>
  <c r="L31" i="83"/>
  <c r="K31" i="83"/>
  <c r="K9" i="83"/>
  <c r="D10" i="83"/>
  <c r="D11" i="83"/>
  <c r="K11" i="83"/>
  <c r="D12" i="83"/>
  <c r="K12" i="83"/>
  <c r="D13" i="83"/>
  <c r="L13" i="83"/>
  <c r="K13" i="83"/>
  <c r="D14" i="83"/>
  <c r="L14" i="83"/>
  <c r="K9" i="88"/>
  <c r="D10" i="88"/>
  <c r="K10" i="88"/>
  <c r="D11" i="88"/>
  <c r="D12" i="88"/>
  <c r="L12" i="88"/>
  <c r="K12" i="88"/>
  <c r="D13" i="88"/>
  <c r="K13" i="88"/>
  <c r="D14" i="88"/>
  <c r="L14" i="88"/>
  <c r="D15" i="88"/>
  <c r="L15" i="88"/>
  <c r="D16" i="88"/>
  <c r="L16" i="88"/>
  <c r="K16" i="88"/>
  <c r="D17" i="88"/>
  <c r="K17" i="88"/>
  <c r="D18" i="88"/>
  <c r="K18" i="88"/>
  <c r="D19" i="88"/>
  <c r="L19" i="88"/>
  <c r="K19" i="88"/>
  <c r="D20" i="88"/>
  <c r="L20" i="88"/>
  <c r="K20" i="88"/>
  <c r="D21" i="88"/>
  <c r="K21" i="88"/>
  <c r="D22" i="88"/>
  <c r="K22" i="88"/>
  <c r="D23" i="88"/>
  <c r="L23" i="88"/>
  <c r="D24" i="88"/>
  <c r="L24" i="88"/>
  <c r="K24" i="88"/>
  <c r="D25" i="88"/>
  <c r="L25" i="88"/>
  <c r="L38" i="80"/>
  <c r="L43" i="80"/>
  <c r="L104" i="80"/>
  <c r="L135" i="80"/>
  <c r="L136" i="80"/>
  <c r="L15" i="83"/>
  <c r="L18" i="83"/>
  <c r="L19" i="83"/>
  <c r="L29" i="83"/>
  <c r="L9" i="83"/>
  <c r="L11" i="83"/>
  <c r="L12" i="83"/>
  <c r="L9" i="88"/>
  <c r="L10" i="88"/>
  <c r="L11" i="88"/>
  <c r="L13" i="88"/>
  <c r="L17" i="88"/>
  <c r="L18" i="88"/>
  <c r="L21" i="88"/>
  <c r="L22" i="88"/>
  <c r="Q38" i="80"/>
  <c r="Q39" i="80"/>
  <c r="Q40" i="80"/>
  <c r="Q41" i="80"/>
  <c r="Q42" i="80"/>
  <c r="Q43" i="80"/>
  <c r="Q44" i="80"/>
  <c r="Q45" i="80"/>
  <c r="Q46" i="80"/>
  <c r="Q47" i="80"/>
  <c r="Q48" i="80"/>
  <c r="Q49" i="80"/>
  <c r="Q50" i="80"/>
  <c r="Q51" i="80"/>
  <c r="Q52" i="80"/>
  <c r="Q53" i="80"/>
  <c r="Q99" i="80"/>
  <c r="Q100" i="80"/>
  <c r="Q101" i="80"/>
  <c r="Q102" i="80"/>
  <c r="Q103" i="80"/>
  <c r="Q104" i="80"/>
  <c r="Q105" i="80"/>
  <c r="Q106" i="80"/>
  <c r="Q107" i="80"/>
  <c r="Q135" i="80"/>
  <c r="Q136" i="80"/>
  <c r="Q137" i="80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8" i="83"/>
  <c r="Q29" i="83"/>
  <c r="Q30" i="83"/>
  <c r="Q31" i="83"/>
  <c r="Q9" i="83"/>
  <c r="Q33" i="83"/>
  <c r="Q10" i="83"/>
  <c r="Q11" i="83"/>
  <c r="Q12" i="83"/>
  <c r="Q13" i="83"/>
  <c r="Q14" i="83"/>
  <c r="Q9" i="88"/>
  <c r="Q10" i="88"/>
  <c r="Q11" i="88"/>
  <c r="Q12" i="88"/>
  <c r="Q13" i="88"/>
  <c r="Q14" i="88"/>
  <c r="Q15" i="88"/>
  <c r="Q27" i="88"/>
  <c r="Q16" i="88"/>
  <c r="Q17" i="88"/>
  <c r="Q18" i="88"/>
  <c r="Q19" i="88"/>
  <c r="Q20" i="88"/>
  <c r="Q21" i="88"/>
  <c r="Q22" i="88"/>
  <c r="Q23" i="88"/>
  <c r="Q24" i="88"/>
  <c r="Q25" i="88"/>
  <c r="P38" i="80"/>
  <c r="P39" i="80"/>
  <c r="P40" i="80"/>
  <c r="P41" i="80"/>
  <c r="P42" i="80"/>
  <c r="P43" i="80"/>
  <c r="P44" i="80"/>
  <c r="P45" i="80"/>
  <c r="P46" i="80"/>
  <c r="P47" i="80"/>
  <c r="P48" i="80"/>
  <c r="P49" i="80"/>
  <c r="P50" i="80"/>
  <c r="P51" i="80"/>
  <c r="P52" i="80"/>
  <c r="P53" i="80"/>
  <c r="P99" i="80"/>
  <c r="P100" i="80"/>
  <c r="P101" i="80"/>
  <c r="P102" i="80"/>
  <c r="P103" i="80"/>
  <c r="P104" i="80"/>
  <c r="P105" i="80"/>
  <c r="P106" i="80"/>
  <c r="P107" i="80"/>
  <c r="P135" i="80"/>
  <c r="P136" i="80"/>
  <c r="P137" i="80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9" i="83"/>
  <c r="P10" i="83"/>
  <c r="P11" i="83"/>
  <c r="P12" i="83"/>
  <c r="P33" i="83"/>
  <c r="P13" i="83"/>
  <c r="P14" i="83"/>
  <c r="P9" i="88"/>
  <c r="P10" i="88"/>
  <c r="P11" i="88"/>
  <c r="P12" i="88"/>
  <c r="P13" i="88"/>
  <c r="P14" i="88"/>
  <c r="P15" i="88"/>
  <c r="P16" i="88"/>
  <c r="P17" i="88"/>
  <c r="P18" i="88"/>
  <c r="P27" i="88"/>
  <c r="P19" i="88"/>
  <c r="P20" i="88"/>
  <c r="P21" i="88"/>
  <c r="P22" i="88"/>
  <c r="P23" i="88"/>
  <c r="P24" i="88"/>
  <c r="P25" i="88"/>
  <c r="G38" i="80"/>
  <c r="G39" i="80"/>
  <c r="G40" i="80"/>
  <c r="G41" i="80"/>
  <c r="G42" i="80"/>
  <c r="G43" i="80"/>
  <c r="G44" i="80"/>
  <c r="G45" i="80"/>
  <c r="G46" i="80"/>
  <c r="G47" i="80"/>
  <c r="G48" i="80"/>
  <c r="G49" i="80"/>
  <c r="G50" i="80"/>
  <c r="G51" i="80"/>
  <c r="G52" i="80"/>
  <c r="G53" i="80"/>
  <c r="G99" i="80"/>
  <c r="G100" i="80"/>
  <c r="G101" i="80"/>
  <c r="G102" i="80"/>
  <c r="G103" i="80"/>
  <c r="G104" i="80"/>
  <c r="G105" i="80"/>
  <c r="G106" i="80"/>
  <c r="G107" i="80"/>
  <c r="G135" i="80"/>
  <c r="G136" i="80"/>
  <c r="G137" i="80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9" i="83"/>
  <c r="G33" i="83"/>
  <c r="G10" i="83"/>
  <c r="G11" i="83"/>
  <c r="G12" i="83"/>
  <c r="G13" i="83"/>
  <c r="G14" i="83"/>
  <c r="G9" i="88"/>
  <c r="G27" i="88"/>
  <c r="G10" i="88"/>
  <c r="G11" i="88"/>
  <c r="G12" i="88"/>
  <c r="G13" i="88"/>
  <c r="G14" i="88"/>
  <c r="G15" i="88"/>
  <c r="G16" i="88"/>
  <c r="G17" i="88"/>
  <c r="G18" i="88"/>
  <c r="G19" i="88"/>
  <c r="G20" i="88"/>
  <c r="G21" i="88"/>
  <c r="G22" i="88"/>
  <c r="G23" i="88"/>
  <c r="G24" i="88"/>
  <c r="G25" i="88"/>
  <c r="E38" i="80"/>
  <c r="E39" i="80"/>
  <c r="E40" i="80"/>
  <c r="E41" i="80"/>
  <c r="E42" i="80"/>
  <c r="E139" i="80"/>
  <c r="E43" i="80"/>
  <c r="E44" i="80"/>
  <c r="E45" i="80"/>
  <c r="E46" i="80"/>
  <c r="E47" i="80"/>
  <c r="E48" i="80"/>
  <c r="E49" i="80"/>
  <c r="E50" i="80"/>
  <c r="E51" i="80"/>
  <c r="E52" i="80"/>
  <c r="E53" i="80"/>
  <c r="E99" i="80"/>
  <c r="E100" i="80"/>
  <c r="E101" i="80"/>
  <c r="E102" i="80"/>
  <c r="E103" i="80"/>
  <c r="E104" i="80"/>
  <c r="E105" i="80"/>
  <c r="E106" i="80"/>
  <c r="E107" i="80"/>
  <c r="E135" i="80"/>
  <c r="E136" i="80"/>
  <c r="E137" i="80"/>
  <c r="E15" i="83"/>
  <c r="E16" i="83"/>
  <c r="E17" i="83"/>
  <c r="E18" i="83"/>
  <c r="E33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9" i="83"/>
  <c r="E10" i="83"/>
  <c r="E11" i="83"/>
  <c r="E12" i="83"/>
  <c r="E13" i="83"/>
  <c r="E14" i="83"/>
  <c r="E9" i="88"/>
  <c r="E10" i="88"/>
  <c r="E11" i="88"/>
  <c r="E12" i="88"/>
  <c r="E13" i="88"/>
  <c r="E27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C139" i="80"/>
  <c r="C33" i="83"/>
  <c r="C27" i="88"/>
  <c r="E9" i="84"/>
  <c r="E10" i="84"/>
  <c r="E11" i="84"/>
  <c r="E12" i="84"/>
  <c r="E13" i="84"/>
  <c r="E14" i="84"/>
  <c r="E15" i="84"/>
  <c r="E16" i="84"/>
  <c r="E31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G9" i="84"/>
  <c r="G10" i="84"/>
  <c r="G11" i="84"/>
  <c r="G12" i="84"/>
  <c r="G13" i="84"/>
  <c r="G14" i="84"/>
  <c r="G15" i="84"/>
  <c r="G16" i="84"/>
  <c r="G17" i="84"/>
  <c r="G18" i="84"/>
  <c r="G19" i="84"/>
  <c r="G31" i="84"/>
  <c r="G20" i="84"/>
  <c r="G21" i="84"/>
  <c r="G22" i="84"/>
  <c r="G23" i="84"/>
  <c r="G24" i="84"/>
  <c r="G25" i="84"/>
  <c r="G26" i="84"/>
  <c r="G27" i="84"/>
  <c r="G28" i="84"/>
  <c r="G29" i="84"/>
  <c r="E9" i="85"/>
  <c r="E10" i="85"/>
  <c r="E17" i="85"/>
  <c r="E11" i="85"/>
  <c r="E12" i="85"/>
  <c r="E13" i="85"/>
  <c r="E14" i="85"/>
  <c r="E15" i="85"/>
  <c r="G9" i="85"/>
  <c r="G17" i="85"/>
  <c r="G10" i="85"/>
  <c r="G11" i="85"/>
  <c r="G12" i="85"/>
  <c r="G13" i="85"/>
  <c r="G14" i="85"/>
  <c r="G15" i="85"/>
  <c r="M15" i="85"/>
  <c r="O15" i="85"/>
  <c r="N15" i="85"/>
  <c r="I15" i="85"/>
  <c r="H15" i="85"/>
  <c r="F15" i="85"/>
  <c r="M14" i="85"/>
  <c r="O14" i="85"/>
  <c r="N14" i="85"/>
  <c r="I14" i="85"/>
  <c r="H14" i="85"/>
  <c r="F14" i="85"/>
  <c r="M29" i="84"/>
  <c r="O29" i="84"/>
  <c r="N29" i="84"/>
  <c r="R29" i="84"/>
  <c r="S29" i="84"/>
  <c r="I29" i="84"/>
  <c r="H29" i="84"/>
  <c r="F29" i="84"/>
  <c r="M28" i="84"/>
  <c r="S28" i="84"/>
  <c r="N28" i="84"/>
  <c r="O28" i="84"/>
  <c r="I28" i="84"/>
  <c r="H28" i="84"/>
  <c r="F28" i="84"/>
  <c r="M27" i="84"/>
  <c r="N27" i="84"/>
  <c r="O27" i="84"/>
  <c r="S27" i="84"/>
  <c r="R27" i="84"/>
  <c r="I27" i="84"/>
  <c r="H27" i="84"/>
  <c r="F27" i="84"/>
  <c r="F137" i="80"/>
  <c r="H137" i="80"/>
  <c r="I137" i="80"/>
  <c r="M137" i="80"/>
  <c r="N137" i="80"/>
  <c r="F136" i="80"/>
  <c r="H136" i="80"/>
  <c r="I136" i="80"/>
  <c r="M136" i="80"/>
  <c r="N136" i="80"/>
  <c r="F12" i="88"/>
  <c r="H12" i="88"/>
  <c r="I12" i="88"/>
  <c r="M12" i="88"/>
  <c r="O12" i="88"/>
  <c r="N12" i="88"/>
  <c r="F13" i="88"/>
  <c r="H13" i="88"/>
  <c r="I13" i="88"/>
  <c r="I27" i="88"/>
  <c r="M13" i="88"/>
  <c r="R13" i="88"/>
  <c r="N13" i="88"/>
  <c r="O13" i="88"/>
  <c r="F14" i="88"/>
  <c r="H14" i="88"/>
  <c r="I14" i="88"/>
  <c r="M14" i="88"/>
  <c r="S14" i="88"/>
  <c r="N14" i="88"/>
  <c r="F15" i="88"/>
  <c r="F27" i="88"/>
  <c r="H15" i="88"/>
  <c r="I15" i="88"/>
  <c r="M15" i="88"/>
  <c r="S15" i="88"/>
  <c r="N15" i="88"/>
  <c r="F16" i="88"/>
  <c r="H16" i="88"/>
  <c r="I16" i="88"/>
  <c r="M16" i="88"/>
  <c r="N16" i="88"/>
  <c r="S16" i="88"/>
  <c r="F17" i="88"/>
  <c r="H17" i="88"/>
  <c r="I17" i="88"/>
  <c r="M17" i="88"/>
  <c r="S17" i="88"/>
  <c r="N17" i="88"/>
  <c r="O17" i="88"/>
  <c r="F18" i="88"/>
  <c r="H18" i="88"/>
  <c r="I18" i="88"/>
  <c r="M18" i="88"/>
  <c r="R18" i="88"/>
  <c r="N18" i="88"/>
  <c r="F19" i="88"/>
  <c r="H19" i="88"/>
  <c r="I19" i="88"/>
  <c r="M19" i="88"/>
  <c r="N19" i="88"/>
  <c r="F20" i="88"/>
  <c r="H20" i="88"/>
  <c r="I20" i="88"/>
  <c r="M20" i="88"/>
  <c r="N20" i="88"/>
  <c r="O20" i="88"/>
  <c r="F21" i="88"/>
  <c r="H21" i="88"/>
  <c r="I21" i="88"/>
  <c r="M21" i="88"/>
  <c r="R21" i="88"/>
  <c r="N21" i="88"/>
  <c r="O21" i="88"/>
  <c r="F22" i="88"/>
  <c r="H22" i="88"/>
  <c r="I22" i="88"/>
  <c r="M22" i="88"/>
  <c r="O22" i="88"/>
  <c r="N22" i="88"/>
  <c r="S22" i="88"/>
  <c r="R22" i="88"/>
  <c r="F23" i="88"/>
  <c r="H23" i="88"/>
  <c r="I23" i="88"/>
  <c r="M23" i="88"/>
  <c r="S23" i="88"/>
  <c r="N23" i="88"/>
  <c r="O23" i="88"/>
  <c r="F24" i="88"/>
  <c r="H24" i="88"/>
  <c r="I24" i="88"/>
  <c r="M24" i="88"/>
  <c r="R24" i="88"/>
  <c r="O24" i="88"/>
  <c r="N24" i="88"/>
  <c r="F25" i="88"/>
  <c r="H25" i="88"/>
  <c r="I25" i="88"/>
  <c r="M25" i="88"/>
  <c r="S25" i="88"/>
  <c r="N25" i="88"/>
  <c r="M11" i="88"/>
  <c r="S11" i="88"/>
  <c r="N11" i="88"/>
  <c r="N27" i="88"/>
  <c r="I11" i="88"/>
  <c r="H11" i="88"/>
  <c r="F11" i="88"/>
  <c r="M10" i="88"/>
  <c r="O10" i="88"/>
  <c r="N10" i="88"/>
  <c r="I10" i="88"/>
  <c r="H10" i="88"/>
  <c r="H27" i="88"/>
  <c r="F10" i="88"/>
  <c r="F15" i="83"/>
  <c r="F16" i="83"/>
  <c r="F17" i="83"/>
  <c r="F18" i="83"/>
  <c r="F19" i="83"/>
  <c r="F20" i="83"/>
  <c r="F21" i="83"/>
  <c r="F22" i="83"/>
  <c r="F23" i="83"/>
  <c r="F24" i="83"/>
  <c r="F25" i="83"/>
  <c r="F26" i="83"/>
  <c r="F27" i="83"/>
  <c r="F28" i="83"/>
  <c r="F29" i="83"/>
  <c r="F30" i="83"/>
  <c r="F31" i="83"/>
  <c r="F9" i="83"/>
  <c r="F10" i="83"/>
  <c r="F11" i="83"/>
  <c r="F33" i="83"/>
  <c r="F12" i="83"/>
  <c r="F13" i="83"/>
  <c r="F14" i="83"/>
  <c r="H15" i="83"/>
  <c r="H16" i="83"/>
  <c r="H17" i="83"/>
  <c r="H18" i="83"/>
  <c r="H19" i="83"/>
  <c r="H20" i="83"/>
  <c r="H21" i="83"/>
  <c r="H22" i="83"/>
  <c r="H23" i="83"/>
  <c r="H24" i="83"/>
  <c r="H25" i="83"/>
  <c r="H26" i="83"/>
  <c r="H27" i="83"/>
  <c r="H28" i="83"/>
  <c r="H29" i="83"/>
  <c r="H30" i="83"/>
  <c r="H31" i="83"/>
  <c r="H9" i="83"/>
  <c r="H10" i="83"/>
  <c r="H11" i="83"/>
  <c r="H12" i="83"/>
  <c r="H13" i="83"/>
  <c r="H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9" i="83"/>
  <c r="I10" i="83"/>
  <c r="I33" i="83"/>
  <c r="I11" i="83"/>
  <c r="I12" i="83"/>
  <c r="I13" i="83"/>
  <c r="I14" i="83"/>
  <c r="M16" i="83"/>
  <c r="S16" i="83"/>
  <c r="M17" i="83"/>
  <c r="S17" i="83"/>
  <c r="M18" i="83"/>
  <c r="M19" i="83"/>
  <c r="R19" i="83"/>
  <c r="M20" i="83"/>
  <c r="R20" i="83"/>
  <c r="M21" i="83"/>
  <c r="M22" i="83"/>
  <c r="S22" i="83"/>
  <c r="M23" i="83"/>
  <c r="S23" i="83"/>
  <c r="M24" i="83"/>
  <c r="S24" i="83"/>
  <c r="M25" i="83"/>
  <c r="S25" i="83"/>
  <c r="M26" i="83"/>
  <c r="M27" i="83"/>
  <c r="O27" i="83"/>
  <c r="M28" i="83"/>
  <c r="M29" i="83"/>
  <c r="O29" i="83"/>
  <c r="M30" i="83"/>
  <c r="M31" i="83"/>
  <c r="R31" i="83"/>
  <c r="M10" i="83"/>
  <c r="O10" i="83"/>
  <c r="M11" i="83"/>
  <c r="R11" i="83"/>
  <c r="M12" i="83"/>
  <c r="M13" i="83"/>
  <c r="S13" i="83"/>
  <c r="M14" i="83"/>
  <c r="S14" i="83"/>
  <c r="N16" i="83"/>
  <c r="N17" i="83"/>
  <c r="N18" i="83"/>
  <c r="N19" i="83"/>
  <c r="S19" i="83"/>
  <c r="N20" i="83"/>
  <c r="S20" i="83"/>
  <c r="N21" i="83"/>
  <c r="O21" i="83"/>
  <c r="N22" i="83"/>
  <c r="N23" i="83"/>
  <c r="N24" i="83"/>
  <c r="N25" i="83"/>
  <c r="N26" i="83"/>
  <c r="O26" i="83"/>
  <c r="N27" i="83"/>
  <c r="N28" i="83"/>
  <c r="N29" i="83"/>
  <c r="N30" i="83"/>
  <c r="R30" i="83"/>
  <c r="N31" i="83"/>
  <c r="S31" i="83"/>
  <c r="N10" i="83"/>
  <c r="N11" i="83"/>
  <c r="N12" i="83"/>
  <c r="N13" i="83"/>
  <c r="R13" i="83"/>
  <c r="N14" i="83"/>
  <c r="O14" i="83"/>
  <c r="O30" i="83"/>
  <c r="R29" i="83"/>
  <c r="O22" i="83"/>
  <c r="O17" i="83"/>
  <c r="O13" i="83"/>
  <c r="M135" i="80"/>
  <c r="N135" i="80"/>
  <c r="S135" i="80"/>
  <c r="F135" i="80"/>
  <c r="I135" i="80"/>
  <c r="H135" i="80"/>
  <c r="M107" i="80"/>
  <c r="N107" i="80"/>
  <c r="F107" i="80"/>
  <c r="I107" i="80"/>
  <c r="H107" i="80"/>
  <c r="M106" i="80"/>
  <c r="S106" i="80"/>
  <c r="N106" i="80"/>
  <c r="F106" i="80"/>
  <c r="I106" i="80"/>
  <c r="H106" i="80"/>
  <c r="M105" i="80"/>
  <c r="O105" i="80"/>
  <c r="N105" i="80"/>
  <c r="S105" i="80"/>
  <c r="F105" i="80"/>
  <c r="I105" i="80"/>
  <c r="H105" i="80"/>
  <c r="M104" i="80"/>
  <c r="O104" i="80"/>
  <c r="N104" i="80"/>
  <c r="R104" i="80"/>
  <c r="F104" i="80"/>
  <c r="I104" i="80"/>
  <c r="H104" i="80"/>
  <c r="M103" i="80"/>
  <c r="N103" i="80"/>
  <c r="R103" i="80"/>
  <c r="F103" i="80"/>
  <c r="I103" i="80"/>
  <c r="H103" i="80"/>
  <c r="M102" i="80"/>
  <c r="N102" i="80"/>
  <c r="O102" i="80"/>
  <c r="F102" i="80"/>
  <c r="I102" i="80"/>
  <c r="H102" i="80"/>
  <c r="M101" i="80"/>
  <c r="O101" i="80"/>
  <c r="N101" i="80"/>
  <c r="F101" i="80"/>
  <c r="I101" i="80"/>
  <c r="H101" i="80"/>
  <c r="M100" i="80"/>
  <c r="S100" i="80"/>
  <c r="N100" i="80"/>
  <c r="F100" i="80"/>
  <c r="I100" i="80"/>
  <c r="H100" i="80"/>
  <c r="M99" i="80"/>
  <c r="R99" i="80"/>
  <c r="N99" i="80"/>
  <c r="F99" i="80"/>
  <c r="I99" i="80"/>
  <c r="H99" i="80"/>
  <c r="M53" i="80"/>
  <c r="N53" i="80"/>
  <c r="S53" i="80"/>
  <c r="F53" i="80"/>
  <c r="I53" i="80"/>
  <c r="H53" i="80"/>
  <c r="M52" i="80"/>
  <c r="N52" i="80"/>
  <c r="O52" i="80"/>
  <c r="F52" i="80"/>
  <c r="I52" i="80"/>
  <c r="H52" i="80"/>
  <c r="M51" i="80"/>
  <c r="N51" i="80"/>
  <c r="F51" i="80"/>
  <c r="I51" i="80"/>
  <c r="H51" i="80"/>
  <c r="M50" i="80"/>
  <c r="N50" i="80"/>
  <c r="F50" i="80"/>
  <c r="I50" i="80"/>
  <c r="H50" i="80"/>
  <c r="M49" i="80"/>
  <c r="N49" i="80"/>
  <c r="F49" i="80"/>
  <c r="I49" i="80"/>
  <c r="H49" i="80"/>
  <c r="M48" i="80"/>
  <c r="O48" i="80"/>
  <c r="N48" i="80"/>
  <c r="F48" i="80"/>
  <c r="I48" i="80"/>
  <c r="H48" i="80"/>
  <c r="M47" i="80"/>
  <c r="N47" i="80"/>
  <c r="F47" i="80"/>
  <c r="I47" i="80"/>
  <c r="H47" i="80"/>
  <c r="M46" i="80"/>
  <c r="N46" i="80"/>
  <c r="R46" i="80"/>
  <c r="F46" i="80"/>
  <c r="I46" i="80"/>
  <c r="H46" i="80"/>
  <c r="M45" i="80"/>
  <c r="N45" i="80"/>
  <c r="F45" i="80"/>
  <c r="I45" i="80"/>
  <c r="H45" i="80"/>
  <c r="M44" i="80"/>
  <c r="R44" i="80"/>
  <c r="N44" i="80"/>
  <c r="F44" i="80"/>
  <c r="I44" i="80"/>
  <c r="H44" i="80"/>
  <c r="M43" i="80"/>
  <c r="R43" i="80"/>
  <c r="N43" i="80"/>
  <c r="O43" i="80"/>
  <c r="F43" i="80"/>
  <c r="I43" i="80"/>
  <c r="H43" i="80"/>
  <c r="M42" i="80"/>
  <c r="R42" i="80"/>
  <c r="N42" i="80"/>
  <c r="F42" i="80"/>
  <c r="I42" i="80"/>
  <c r="H42" i="80"/>
  <c r="M41" i="80"/>
  <c r="O41" i="80"/>
  <c r="R41" i="80"/>
  <c r="N41" i="80"/>
  <c r="F41" i="80"/>
  <c r="I41" i="80"/>
  <c r="H41" i="80"/>
  <c r="M40" i="80"/>
  <c r="N40" i="80"/>
  <c r="F40" i="80"/>
  <c r="I40" i="80"/>
  <c r="H40" i="80"/>
  <c r="M39" i="80"/>
  <c r="R39" i="80"/>
  <c r="N39" i="80"/>
  <c r="F39" i="80"/>
  <c r="I39" i="80"/>
  <c r="H39" i="80"/>
  <c r="M38" i="80"/>
  <c r="N38" i="80"/>
  <c r="F38" i="80"/>
  <c r="I38" i="80"/>
  <c r="H38" i="80"/>
  <c r="F9" i="88"/>
  <c r="H9" i="88"/>
  <c r="I9" i="88"/>
  <c r="E28" i="88"/>
  <c r="F28" i="88"/>
  <c r="G28" i="88"/>
  <c r="H28" i="88"/>
  <c r="I28" i="88"/>
  <c r="F9" i="84"/>
  <c r="F10" i="84"/>
  <c r="F11" i="84"/>
  <c r="F12" i="84"/>
  <c r="F13" i="84"/>
  <c r="F14" i="84"/>
  <c r="F20" i="84"/>
  <c r="F24" i="84"/>
  <c r="F15" i="84"/>
  <c r="F31" i="84"/>
  <c r="F16" i="84"/>
  <c r="F17" i="84"/>
  <c r="F18" i="84"/>
  <c r="F19" i="84"/>
  <c r="F21" i="84"/>
  <c r="F22" i="84"/>
  <c r="F23" i="84"/>
  <c r="F25" i="84"/>
  <c r="F26" i="84"/>
  <c r="H9" i="84"/>
  <c r="H31" i="84"/>
  <c r="H10" i="84"/>
  <c r="H11" i="84"/>
  <c r="H12" i="84"/>
  <c r="H13" i="84"/>
  <c r="H14" i="84"/>
  <c r="H20" i="84"/>
  <c r="H24" i="84"/>
  <c r="H15" i="84"/>
  <c r="H16" i="84"/>
  <c r="H17" i="84"/>
  <c r="H18" i="84"/>
  <c r="H19" i="84"/>
  <c r="H21" i="84"/>
  <c r="H22" i="84"/>
  <c r="H23" i="84"/>
  <c r="H25" i="84"/>
  <c r="H26" i="84"/>
  <c r="I9" i="84"/>
  <c r="I10" i="84"/>
  <c r="I11" i="84"/>
  <c r="I12" i="84"/>
  <c r="I13" i="84"/>
  <c r="I14" i="84"/>
  <c r="I31" i="84"/>
  <c r="I20" i="84"/>
  <c r="I24" i="84"/>
  <c r="I15" i="84"/>
  <c r="I16" i="84"/>
  <c r="I17" i="84"/>
  <c r="I18" i="84"/>
  <c r="I19" i="84"/>
  <c r="I21" i="84"/>
  <c r="I22" i="84"/>
  <c r="I23" i="84"/>
  <c r="I25" i="84"/>
  <c r="I26" i="84"/>
  <c r="M14" i="84"/>
  <c r="O14" i="84"/>
  <c r="M20" i="84"/>
  <c r="M24" i="84"/>
  <c r="O24" i="84"/>
  <c r="M15" i="84"/>
  <c r="S15" i="84"/>
  <c r="M16" i="84"/>
  <c r="M17" i="84"/>
  <c r="O17" i="84"/>
  <c r="M18" i="84"/>
  <c r="R18" i="84"/>
  <c r="M19" i="84"/>
  <c r="O19" i="84"/>
  <c r="M21" i="84"/>
  <c r="O21" i="84"/>
  <c r="M22" i="84"/>
  <c r="S22" i="84"/>
  <c r="M23" i="84"/>
  <c r="M25" i="84"/>
  <c r="M26" i="84"/>
  <c r="N14" i="84"/>
  <c r="S14" i="84"/>
  <c r="N20" i="84"/>
  <c r="R20" i="84"/>
  <c r="N24" i="84"/>
  <c r="N15" i="84"/>
  <c r="N16" i="84"/>
  <c r="O16" i="84"/>
  <c r="N17" i="84"/>
  <c r="N18" i="84"/>
  <c r="N19" i="84"/>
  <c r="N21" i="84"/>
  <c r="N22" i="84"/>
  <c r="N23" i="84"/>
  <c r="S23" i="84"/>
  <c r="N25" i="84"/>
  <c r="S25" i="84"/>
  <c r="N26" i="84"/>
  <c r="O26" i="84"/>
  <c r="R17" i="84"/>
  <c r="R21" i="84"/>
  <c r="F9" i="85"/>
  <c r="F17" i="85"/>
  <c r="F10" i="85"/>
  <c r="F11" i="85"/>
  <c r="F12" i="85"/>
  <c r="F13" i="85"/>
  <c r="H9" i="85"/>
  <c r="H10" i="85"/>
  <c r="H17" i="85"/>
  <c r="H11" i="85"/>
  <c r="H12" i="85"/>
  <c r="H13" i="85"/>
  <c r="I9" i="85"/>
  <c r="I10" i="85"/>
  <c r="I17" i="85"/>
  <c r="I11" i="85"/>
  <c r="I12" i="85"/>
  <c r="I13" i="85"/>
  <c r="M10" i="85"/>
  <c r="M11" i="85"/>
  <c r="M12" i="85"/>
  <c r="R12" i="85"/>
  <c r="M13" i="85"/>
  <c r="S13" i="85"/>
  <c r="N10" i="85"/>
  <c r="N11" i="85"/>
  <c r="R11" i="85"/>
  <c r="N12" i="85"/>
  <c r="N13" i="85"/>
  <c r="S24" i="84"/>
  <c r="E18" i="85"/>
  <c r="F18" i="85"/>
  <c r="G18" i="85"/>
  <c r="H18" i="85"/>
  <c r="I18" i="85"/>
  <c r="E32" i="84"/>
  <c r="F32" i="84"/>
  <c r="G32" i="84"/>
  <c r="H32" i="84"/>
  <c r="I32" i="84"/>
  <c r="E34" i="83"/>
  <c r="F34" i="83"/>
  <c r="G34" i="83"/>
  <c r="H34" i="83"/>
  <c r="I34" i="83"/>
  <c r="E140" i="80"/>
  <c r="F140" i="80"/>
  <c r="G140" i="80"/>
  <c r="H140" i="80"/>
  <c r="I140" i="80"/>
  <c r="L27" i="83"/>
  <c r="K27" i="83"/>
  <c r="K10" i="83"/>
  <c r="S10" i="83"/>
  <c r="L10" i="83"/>
  <c r="L33" i="83"/>
  <c r="S12" i="83"/>
  <c r="R12" i="83"/>
  <c r="O12" i="83"/>
  <c r="R18" i="83"/>
  <c r="R9" i="88"/>
  <c r="R27" i="88"/>
  <c r="S15" i="83"/>
  <c r="R15" i="83"/>
  <c r="O10" i="85"/>
  <c r="S10" i="85"/>
  <c r="R10" i="85"/>
  <c r="M17" i="85"/>
  <c r="S18" i="88"/>
  <c r="O18" i="88"/>
  <c r="K49" i="80"/>
  <c r="S96" i="80"/>
  <c r="O96" i="80"/>
  <c r="R96" i="80"/>
  <c r="S27" i="83"/>
  <c r="R26" i="83"/>
  <c r="R72" i="80"/>
  <c r="S84" i="80"/>
  <c r="H33" i="83"/>
  <c r="R22" i="84"/>
  <c r="L14" i="85"/>
  <c r="K14" i="85"/>
  <c r="S14" i="85"/>
  <c r="R14" i="85"/>
  <c r="K105" i="80"/>
  <c r="L105" i="80"/>
  <c r="O26" i="80"/>
  <c r="S26" i="80"/>
  <c r="K26" i="80"/>
  <c r="S19" i="88"/>
  <c r="K109" i="80"/>
  <c r="O62" i="80"/>
  <c r="R62" i="80"/>
  <c r="O87" i="80"/>
  <c r="S20" i="88"/>
  <c r="K25" i="83"/>
  <c r="L25" i="83"/>
  <c r="O80" i="80"/>
  <c r="O27" i="80"/>
  <c r="S27" i="80"/>
  <c r="K23" i="80"/>
  <c r="O20" i="80"/>
  <c r="S20" i="80"/>
  <c r="S19" i="84"/>
  <c r="R21" i="83"/>
  <c r="R27" i="83"/>
  <c r="O23" i="83"/>
  <c r="S21" i="88"/>
  <c r="K14" i="84"/>
  <c r="L14" i="84"/>
  <c r="R10" i="84"/>
  <c r="S109" i="80"/>
  <c r="L113" i="80"/>
  <c r="K113" i="80"/>
  <c r="O71" i="80"/>
  <c r="K27" i="80"/>
  <c r="L23" i="80"/>
  <c r="L20" i="80"/>
  <c r="S12" i="85"/>
  <c r="R26" i="84"/>
  <c r="R25" i="88"/>
  <c r="R17" i="88"/>
  <c r="L21" i="83"/>
  <c r="L106" i="80"/>
  <c r="K23" i="88"/>
  <c r="K11" i="88"/>
  <c r="L30" i="83"/>
  <c r="K30" i="83"/>
  <c r="K102" i="80"/>
  <c r="L102" i="80"/>
  <c r="K39" i="80"/>
  <c r="K10" i="84"/>
  <c r="L11" i="84"/>
  <c r="K11" i="85"/>
  <c r="S111" i="80"/>
  <c r="R132" i="80"/>
  <c r="R64" i="80"/>
  <c r="K11" i="80"/>
  <c r="S21" i="84"/>
  <c r="L26" i="84"/>
  <c r="K26" i="84"/>
  <c r="R59" i="80"/>
  <c r="O16" i="83"/>
  <c r="O19" i="83"/>
  <c r="K101" i="80"/>
  <c r="L101" i="80"/>
  <c r="J27" i="88"/>
  <c r="K10" i="85"/>
  <c r="L10" i="85"/>
  <c r="L108" i="80"/>
  <c r="K108" i="80"/>
  <c r="O108" i="80"/>
  <c r="R55" i="80"/>
  <c r="S94" i="80"/>
  <c r="O94" i="80"/>
  <c r="R94" i="80"/>
  <c r="O34" i="80"/>
  <c r="S34" i="80"/>
  <c r="R34" i="80"/>
  <c r="K32" i="80"/>
  <c r="L32" i="80"/>
  <c r="S30" i="80"/>
  <c r="R30" i="80"/>
  <c r="O28" i="80"/>
  <c r="S28" i="80"/>
  <c r="K28" i="80"/>
  <c r="S43" i="80"/>
  <c r="R48" i="80"/>
  <c r="R16" i="83"/>
  <c r="R25" i="83"/>
  <c r="R28" i="83"/>
  <c r="S24" i="88"/>
  <c r="R19" i="88"/>
  <c r="L22" i="83"/>
  <c r="K22" i="83"/>
  <c r="K16" i="83"/>
  <c r="K50" i="80"/>
  <c r="L44" i="80"/>
  <c r="R87" i="80"/>
  <c r="S88" i="80"/>
  <c r="L34" i="80"/>
  <c r="O32" i="80"/>
  <c r="S32" i="80"/>
  <c r="L28" i="80"/>
  <c r="K18" i="80"/>
  <c r="R12" i="80"/>
  <c r="O12" i="80"/>
  <c r="S12" i="80"/>
  <c r="K12" i="80"/>
  <c r="K26" i="83"/>
  <c r="L26" i="83"/>
  <c r="S12" i="88"/>
  <c r="L111" i="80"/>
  <c r="K111" i="80"/>
  <c r="O111" i="80"/>
  <c r="R49" i="80"/>
  <c r="O25" i="83"/>
  <c r="O106" i="80"/>
  <c r="R20" i="88"/>
  <c r="O19" i="88"/>
  <c r="R12" i="88"/>
  <c r="L13" i="84"/>
  <c r="K13" i="84"/>
  <c r="O113" i="80"/>
  <c r="L114" i="80"/>
  <c r="K114" i="80"/>
  <c r="O37" i="80"/>
  <c r="S37" i="80"/>
  <c r="O19" i="80"/>
  <c r="K15" i="80"/>
  <c r="L17" i="83"/>
  <c r="L47" i="80"/>
  <c r="K16" i="84"/>
  <c r="L110" i="80"/>
  <c r="K110" i="80"/>
  <c r="O54" i="80"/>
  <c r="O67" i="80"/>
  <c r="S86" i="80"/>
  <c r="O86" i="80"/>
  <c r="K42" i="80"/>
  <c r="K27" i="84"/>
  <c r="K22" i="84"/>
  <c r="L22" i="84"/>
  <c r="O10" i="84"/>
  <c r="S113" i="80"/>
  <c r="O31" i="80"/>
  <c r="K52" i="80"/>
  <c r="L52" i="80"/>
  <c r="L112" i="80"/>
  <c r="K112" i="80"/>
  <c r="O63" i="80"/>
  <c r="S66" i="80"/>
  <c r="S79" i="80"/>
  <c r="O95" i="80"/>
  <c r="R13" i="80"/>
  <c r="K13" i="80"/>
  <c r="K25" i="84"/>
  <c r="K17" i="84"/>
  <c r="S11" i="84"/>
  <c r="K13" i="85"/>
  <c r="O35" i="80"/>
  <c r="R23" i="80"/>
  <c r="O9" i="80"/>
  <c r="O132" i="80"/>
  <c r="O33" i="80"/>
  <c r="L30" i="80"/>
  <c r="S14" i="80"/>
  <c r="S57" i="80"/>
  <c r="S65" i="80"/>
  <c r="S73" i="80"/>
  <c r="O73" i="80"/>
  <c r="O77" i="80"/>
  <c r="S85" i="80"/>
  <c r="O85" i="80"/>
  <c r="O89" i="80"/>
  <c r="S93" i="80"/>
  <c r="O93" i="80"/>
  <c r="S97" i="80"/>
  <c r="O97" i="80"/>
  <c r="R11" i="80"/>
  <c r="L10" i="80"/>
  <c r="Q139" i="80"/>
  <c r="K100" i="80"/>
  <c r="S44" i="80"/>
  <c r="O59" i="80"/>
  <c r="S46" i="80"/>
  <c r="S38" i="80"/>
  <c r="S40" i="80"/>
  <c r="S49" i="80"/>
  <c r="O103" i="80"/>
  <c r="S137" i="80"/>
  <c r="K99" i="80"/>
  <c r="R57" i="80"/>
  <c r="R58" i="80"/>
  <c r="O60" i="80"/>
  <c r="R71" i="80"/>
  <c r="R81" i="80"/>
  <c r="O82" i="80"/>
  <c r="R36" i="80"/>
  <c r="R35" i="80"/>
  <c r="P139" i="80"/>
  <c r="R105" i="80"/>
  <c r="R80" i="80"/>
  <c r="O46" i="80"/>
  <c r="S47" i="80"/>
  <c r="S101" i="80"/>
  <c r="R65" i="80"/>
  <c r="R66" i="80"/>
  <c r="R67" i="80"/>
  <c r="R73" i="80"/>
  <c r="R74" i="80"/>
  <c r="R29" i="80"/>
  <c r="R18" i="80"/>
  <c r="S63" i="80"/>
  <c r="R78" i="80"/>
  <c r="S39" i="80"/>
  <c r="S62" i="80"/>
  <c r="R45" i="80"/>
  <c r="R135" i="80"/>
  <c r="R118" i="80"/>
  <c r="K125" i="80"/>
  <c r="L33" i="80"/>
  <c r="L31" i="80"/>
  <c r="O17" i="80"/>
  <c r="O14" i="80"/>
  <c r="O13" i="80"/>
  <c r="S42" i="80"/>
  <c r="R21" i="80"/>
  <c r="O81" i="80"/>
  <c r="R25" i="80"/>
  <c r="S108" i="80"/>
  <c r="O78" i="80"/>
  <c r="O53" i="80"/>
  <c r="R106" i="80"/>
  <c r="L137" i="80"/>
  <c r="S133" i="80"/>
  <c r="O68" i="80"/>
  <c r="O115" i="80"/>
  <c r="K126" i="80"/>
  <c r="K128" i="80"/>
  <c r="K55" i="80"/>
  <c r="K86" i="80"/>
  <c r="K88" i="80"/>
  <c r="K90" i="80"/>
  <c r="L21" i="80"/>
  <c r="R16" i="80"/>
  <c r="K14" i="80"/>
  <c r="J139" i="80"/>
  <c r="R88" i="80"/>
  <c r="L45" i="80"/>
  <c r="O133" i="80"/>
  <c r="R84" i="80"/>
  <c r="O39" i="80"/>
  <c r="R110" i="80"/>
  <c r="K129" i="80"/>
  <c r="L55" i="80"/>
  <c r="L88" i="80"/>
  <c r="I139" i="80"/>
  <c r="S36" i="80"/>
  <c r="O45" i="80"/>
  <c r="R56" i="80"/>
  <c r="S77" i="80"/>
  <c r="S33" i="80"/>
  <c r="K103" i="80"/>
  <c r="O58" i="80"/>
  <c r="S56" i="80"/>
  <c r="O84" i="80"/>
  <c r="S48" i="80"/>
  <c r="O50" i="80"/>
  <c r="R102" i="80"/>
  <c r="S104" i="80"/>
  <c r="S136" i="80"/>
  <c r="R113" i="80"/>
  <c r="S116" i="80"/>
  <c r="S117" i="80"/>
  <c r="O119" i="80"/>
  <c r="O121" i="80"/>
  <c r="R100" i="80"/>
  <c r="O122" i="80"/>
  <c r="O124" i="80"/>
  <c r="R130" i="80"/>
  <c r="K65" i="80"/>
  <c r="K71" i="80"/>
  <c r="K73" i="80"/>
  <c r="S91" i="80"/>
  <c r="R95" i="80"/>
  <c r="K37" i="80"/>
  <c r="K36" i="80"/>
  <c r="G139" i="80"/>
  <c r="L74" i="80"/>
  <c r="R31" i="80"/>
  <c r="O70" i="80"/>
  <c r="S15" i="80"/>
  <c r="R101" i="80"/>
  <c r="S55" i="80"/>
  <c r="O64" i="80"/>
  <c r="S11" i="80"/>
  <c r="O72" i="80"/>
  <c r="R53" i="80"/>
  <c r="R107" i="80"/>
  <c r="S125" i="80"/>
  <c r="S126" i="80"/>
  <c r="O128" i="80"/>
  <c r="O130" i="80"/>
  <c r="O69" i="80"/>
  <c r="R77" i="80"/>
  <c r="O83" i="80"/>
  <c r="R86" i="80"/>
  <c r="R89" i="80"/>
  <c r="S90" i="80"/>
  <c r="F139" i="80"/>
  <c r="K66" i="80"/>
  <c r="L67" i="80"/>
  <c r="O65" i="80"/>
  <c r="R15" i="80"/>
  <c r="O79" i="80"/>
  <c r="S19" i="80"/>
  <c r="S23" i="80"/>
  <c r="O99" i="80"/>
  <c r="R51" i="80"/>
  <c r="S103" i="80"/>
  <c r="S128" i="80"/>
  <c r="S129" i="80"/>
  <c r="O131" i="80"/>
  <c r="S134" i="80"/>
  <c r="O61" i="80"/>
  <c r="L27" i="88"/>
  <c r="R92" i="80"/>
  <c r="S67" i="80"/>
  <c r="S52" i="80"/>
  <c r="S18" i="84"/>
  <c r="O31" i="83"/>
  <c r="S68" i="80"/>
  <c r="O107" i="80"/>
  <c r="M27" i="88"/>
  <c r="S18" i="83"/>
  <c r="R10" i="83"/>
  <c r="O11" i="85"/>
  <c r="O23" i="84"/>
  <c r="N31" i="84"/>
  <c r="O18" i="84"/>
  <c r="O38" i="80"/>
  <c r="O47" i="80"/>
  <c r="S29" i="83"/>
  <c r="S30" i="83"/>
  <c r="M33" i="83"/>
  <c r="O11" i="88"/>
  <c r="R16" i="88"/>
  <c r="R9" i="83"/>
  <c r="R33" i="83"/>
  <c r="K25" i="88"/>
  <c r="K14" i="88"/>
  <c r="K27" i="88"/>
  <c r="K14" i="83"/>
  <c r="K33" i="83"/>
  <c r="K23" i="83"/>
  <c r="K17" i="83"/>
  <c r="K40" i="80"/>
  <c r="S12" i="84"/>
  <c r="S54" i="80"/>
  <c r="O25" i="80"/>
  <c r="K21" i="80"/>
  <c r="O18" i="83"/>
  <c r="R10" i="88"/>
  <c r="R69" i="80"/>
  <c r="K72" i="80"/>
  <c r="K80" i="80"/>
  <c r="K87" i="80"/>
  <c r="K96" i="80"/>
  <c r="S11" i="83"/>
  <c r="R24" i="83"/>
  <c r="N33" i="83"/>
  <c r="O15" i="84"/>
  <c r="S20" i="84"/>
  <c r="S28" i="83"/>
  <c r="S26" i="83"/>
  <c r="N17" i="85"/>
  <c r="R38" i="80"/>
  <c r="O40" i="80"/>
  <c r="S45" i="80"/>
  <c r="R47" i="80"/>
  <c r="O100" i="80"/>
  <c r="S10" i="88"/>
  <c r="O25" i="88"/>
  <c r="O16" i="88"/>
  <c r="R14" i="88"/>
  <c r="O9" i="83"/>
  <c r="O33" i="83"/>
  <c r="R9" i="85"/>
  <c r="R17" i="85"/>
  <c r="S115" i="80"/>
  <c r="S118" i="80"/>
  <c r="S121" i="80"/>
  <c r="S124" i="80"/>
  <c r="S127" i="80"/>
  <c r="S130" i="80"/>
  <c r="S24" i="80"/>
  <c r="O15" i="80"/>
  <c r="R14" i="80"/>
  <c r="S107" i="80"/>
  <c r="O20" i="84"/>
  <c r="R136" i="80"/>
  <c r="O10" i="80"/>
  <c r="O139" i="80"/>
  <c r="S61" i="80"/>
  <c r="O98" i="80"/>
  <c r="R76" i="80"/>
  <c r="R15" i="84"/>
  <c r="O28" i="83"/>
  <c r="R19" i="84"/>
  <c r="S16" i="84"/>
  <c r="O49" i="80"/>
  <c r="S51" i="80"/>
  <c r="O20" i="83"/>
  <c r="S21" i="83"/>
  <c r="O14" i="88"/>
  <c r="L107" i="80"/>
  <c r="L15" i="84"/>
  <c r="O112" i="80"/>
  <c r="R116" i="80"/>
  <c r="R119" i="80"/>
  <c r="R122" i="80"/>
  <c r="R125" i="80"/>
  <c r="R128" i="80"/>
  <c r="R131" i="80"/>
  <c r="K133" i="80"/>
  <c r="K89" i="80"/>
  <c r="S18" i="80"/>
  <c r="L16" i="80"/>
  <c r="S92" i="80"/>
  <c r="S98" i="80"/>
  <c r="O76" i="80"/>
  <c r="R52" i="80"/>
  <c r="L11" i="85"/>
  <c r="L17" i="85"/>
  <c r="O11" i="83"/>
  <c r="R109" i="80"/>
  <c r="O9" i="88"/>
  <c r="O27" i="88"/>
  <c r="R13" i="85"/>
  <c r="R40" i="80"/>
  <c r="O42" i="80"/>
  <c r="O51" i="80"/>
  <c r="S102" i="80"/>
  <c r="R14" i="83"/>
  <c r="R23" i="88"/>
  <c r="K28" i="83"/>
  <c r="K51" i="80"/>
  <c r="R12" i="84"/>
  <c r="K9" i="84"/>
  <c r="O117" i="80"/>
  <c r="O120" i="80"/>
  <c r="O123" i="80"/>
  <c r="O126" i="80"/>
  <c r="O129" i="80"/>
  <c r="S13" i="80"/>
  <c r="O136" i="80"/>
  <c r="K15" i="88"/>
  <c r="O25" i="84"/>
  <c r="K134" i="80"/>
  <c r="S76" i="80"/>
  <c r="R23" i="84"/>
  <c r="O134" i="80"/>
  <c r="R60" i="80"/>
  <c r="S41" i="80"/>
  <c r="S11" i="85"/>
  <c r="R50" i="80"/>
  <c r="O74" i="80"/>
  <c r="R25" i="84"/>
  <c r="S17" i="84"/>
  <c r="O12" i="85"/>
  <c r="R14" i="84"/>
  <c r="R24" i="84"/>
  <c r="O44" i="80"/>
  <c r="O135" i="80"/>
  <c r="R22" i="83"/>
  <c r="R15" i="85"/>
  <c r="R11" i="84"/>
  <c r="R112" i="80"/>
  <c r="K115" i="80"/>
  <c r="K118" i="80"/>
  <c r="K121" i="80"/>
  <c r="K124" i="80"/>
  <c r="K127" i="80"/>
  <c r="K130" i="80"/>
  <c r="K61" i="80"/>
  <c r="K68" i="80"/>
  <c r="K75" i="80"/>
  <c r="K83" i="80"/>
  <c r="K91" i="80"/>
  <c r="S29" i="80"/>
  <c r="L19" i="80"/>
  <c r="M139" i="80"/>
  <c r="L41" i="80"/>
  <c r="S74" i="80"/>
  <c r="S13" i="88"/>
  <c r="R75" i="80"/>
  <c r="O137" i="80"/>
  <c r="R15" i="88"/>
  <c r="S15" i="85"/>
  <c r="D27" i="88"/>
  <c r="L9" i="84"/>
  <c r="L31" i="84"/>
  <c r="R9" i="84"/>
  <c r="R31" i="84"/>
  <c r="K15" i="85"/>
  <c r="K17" i="85"/>
  <c r="S9" i="85"/>
  <c r="S17" i="85"/>
  <c r="R114" i="80"/>
  <c r="R117" i="80"/>
  <c r="R120" i="80"/>
  <c r="R123" i="80"/>
  <c r="R126" i="80"/>
  <c r="R129" i="80"/>
  <c r="K69" i="80"/>
  <c r="K76" i="80"/>
  <c r="L83" i="80"/>
  <c r="K92" i="80"/>
  <c r="R24" i="80"/>
  <c r="O92" i="80"/>
  <c r="S82" i="80"/>
  <c r="S60" i="80"/>
  <c r="S83" i="80"/>
  <c r="O114" i="80"/>
  <c r="R91" i="80"/>
  <c r="M31" i="84"/>
  <c r="O15" i="88"/>
  <c r="D31" i="84"/>
  <c r="O22" i="84"/>
  <c r="O75" i="80"/>
  <c r="R137" i="80"/>
  <c r="S99" i="80"/>
  <c r="S50" i="80"/>
  <c r="R23" i="83"/>
  <c r="R28" i="84"/>
  <c r="L48" i="80"/>
  <c r="K18" i="84"/>
  <c r="K54" i="80"/>
  <c r="K62" i="80"/>
  <c r="L69" i="80"/>
  <c r="K77" i="80"/>
  <c r="R82" i="80"/>
  <c r="K84" i="80"/>
  <c r="K93" i="80"/>
  <c r="O22" i="80"/>
  <c r="S22" i="80"/>
  <c r="S9" i="80"/>
  <c r="S139" i="80"/>
  <c r="R10" i="80"/>
  <c r="R139" i="80"/>
  <c r="S13" i="84"/>
  <c r="O91" i="80"/>
  <c r="R16" i="84"/>
  <c r="O13" i="85"/>
  <c r="O90" i="80"/>
  <c r="R11" i="88"/>
  <c r="K24" i="83"/>
  <c r="R134" i="80"/>
  <c r="K85" i="80"/>
  <c r="L24" i="80"/>
  <c r="D139" i="80"/>
  <c r="O13" i="84"/>
  <c r="D33" i="83"/>
  <c r="O24" i="83"/>
  <c r="K139" i="80"/>
  <c r="L139" i="80"/>
  <c r="K31" i="84"/>
</calcChain>
</file>

<file path=xl/sharedStrings.xml><?xml version="1.0" encoding="utf-8"?>
<sst xmlns="http://schemas.openxmlformats.org/spreadsheetml/2006/main" count="140" uniqueCount="86">
  <si>
    <t xml:space="preserve"> 旭源企業有限公司</t>
    <phoneticPr fontId="1" type="noConversion"/>
  </si>
  <si>
    <t xml:space="preserve">                                                              公司地址:台北縣五股鄉成泰路1段98巷16-56號</t>
    <phoneticPr fontId="1" type="noConversion"/>
  </si>
  <si>
    <r>
      <t xml:space="preserve">                                                              工廠地址:台北縣五股鄉成泰路1段98巷16-56號      </t>
    </r>
    <r>
      <rPr>
        <sz val="12"/>
        <rFont val="新細明體"/>
        <family val="1"/>
        <charset val="136"/>
      </rPr>
      <t/>
    </r>
    <phoneticPr fontId="1" type="noConversion"/>
  </si>
  <si>
    <t>工程名稱:</t>
    <phoneticPr fontId="1" type="noConversion"/>
  </si>
  <si>
    <r>
      <t xml:space="preserve">客    戶:               </t>
    </r>
    <r>
      <rPr>
        <sz val="12"/>
        <rFont val="新細明體"/>
        <family val="1"/>
        <charset val="136"/>
      </rPr>
      <t/>
    </r>
    <phoneticPr fontId="1" type="noConversion"/>
  </si>
  <si>
    <t xml:space="preserve">                                   中華民國96年11月8日</t>
    <phoneticPr fontId="1" type="noConversion"/>
  </si>
  <si>
    <r>
      <t>長</t>
    </r>
    <r>
      <rPr>
        <vertAlign val="subscript"/>
        <sz val="15"/>
        <rFont val="新細明體"/>
        <family val="1"/>
        <charset val="136"/>
      </rPr>
      <t>CM</t>
    </r>
    <phoneticPr fontId="1" type="noConversion"/>
  </si>
  <si>
    <r>
      <t>寬</t>
    </r>
    <r>
      <rPr>
        <vertAlign val="subscript"/>
        <sz val="15"/>
        <rFont val="新細明體"/>
        <family val="1"/>
        <charset val="136"/>
      </rPr>
      <t>CM</t>
    </r>
    <phoneticPr fontId="1" type="noConversion"/>
  </si>
  <si>
    <t>米數</t>
    <phoneticPr fontId="1" type="noConversion"/>
  </si>
  <si>
    <t>風管支數</t>
    <phoneticPr fontId="1" type="noConversion"/>
  </si>
  <si>
    <t>3'×7'張數</t>
    <phoneticPr fontId="1" type="noConversion"/>
  </si>
  <si>
    <r>
      <t>M</t>
    </r>
    <r>
      <rPr>
        <vertAlign val="superscript"/>
        <sz val="15"/>
        <rFont val="新細明體"/>
        <family val="1"/>
        <charset val="136"/>
      </rPr>
      <t>2</t>
    </r>
    <r>
      <rPr>
        <sz val="15"/>
        <rFont val="新細明體"/>
        <family val="1"/>
        <charset val="136"/>
      </rPr>
      <t>數</t>
    </r>
    <phoneticPr fontId="1" type="noConversion"/>
  </si>
  <si>
    <t>保溫才數</t>
    <phoneticPr fontId="1" type="noConversion"/>
  </si>
  <si>
    <t>板材換算</t>
    <phoneticPr fontId="1" type="noConversion"/>
  </si>
  <si>
    <t>總重量</t>
    <phoneticPr fontId="1" type="noConversion"/>
  </si>
  <si>
    <t>L法蘭角</t>
    <phoneticPr fontId="1" type="noConversion"/>
  </si>
  <si>
    <t>法蘭夾片</t>
    <phoneticPr fontId="1" type="noConversion"/>
  </si>
  <si>
    <t>墊片(米)</t>
    <phoneticPr fontId="1" type="noConversion"/>
  </si>
  <si>
    <t>補強(長)</t>
    <phoneticPr fontId="1" type="noConversion"/>
  </si>
  <si>
    <t>補強(寬)</t>
    <phoneticPr fontId="1" type="noConversion"/>
  </si>
  <si>
    <t>補強米數</t>
    <phoneticPr fontId="1" type="noConversion"/>
  </si>
  <si>
    <t>配仔</t>
    <phoneticPr fontId="1" type="noConversion"/>
  </si>
  <si>
    <t>吊點(步)</t>
    <phoneticPr fontId="1" type="noConversion"/>
  </si>
  <si>
    <t>十字勾</t>
    <phoneticPr fontId="1" type="noConversion"/>
  </si>
  <si>
    <t>華司</t>
    <phoneticPr fontId="1" type="noConversion"/>
  </si>
  <si>
    <t>總計</t>
    <phoneticPr fontId="1" type="noConversion"/>
  </si>
  <si>
    <t>合      計</t>
    <phoneticPr fontId="1" type="noConversion"/>
  </si>
  <si>
    <t xml:space="preserve"> 旭源企業有限公司</t>
    <phoneticPr fontId="1" type="noConversion"/>
  </si>
  <si>
    <t xml:space="preserve">                                                              公司地址:台北縣五股鄉成泰路1段98巷16-56號</t>
    <phoneticPr fontId="1" type="noConversion"/>
  </si>
  <si>
    <r>
      <t xml:space="preserve">                                                              工廠地址:台北縣五股鄉成泰路1段98巷16-56號      </t>
    </r>
    <r>
      <rPr>
        <sz val="12"/>
        <rFont val="新細明體"/>
        <family val="1"/>
        <charset val="136"/>
      </rPr>
      <t/>
    </r>
    <phoneticPr fontId="1" type="noConversion"/>
  </si>
  <si>
    <t>工程名稱:</t>
    <phoneticPr fontId="1" type="noConversion"/>
  </si>
  <si>
    <r>
      <t xml:space="preserve">客    戶:               </t>
    </r>
    <r>
      <rPr>
        <sz val="12"/>
        <rFont val="新細明體"/>
        <family val="1"/>
        <charset val="136"/>
      </rPr>
      <t/>
    </r>
    <phoneticPr fontId="1" type="noConversion"/>
  </si>
  <si>
    <t xml:space="preserve">                                   中華民國96年11月8日</t>
    <phoneticPr fontId="1" type="noConversion"/>
  </si>
  <si>
    <r>
      <t>長</t>
    </r>
    <r>
      <rPr>
        <vertAlign val="subscript"/>
        <sz val="15"/>
        <rFont val="新細明體"/>
        <family val="1"/>
        <charset val="136"/>
      </rPr>
      <t>CM</t>
    </r>
    <phoneticPr fontId="1" type="noConversion"/>
  </si>
  <si>
    <r>
      <t>寬</t>
    </r>
    <r>
      <rPr>
        <vertAlign val="subscript"/>
        <sz val="15"/>
        <rFont val="新細明體"/>
        <family val="1"/>
        <charset val="136"/>
      </rPr>
      <t>CM</t>
    </r>
    <phoneticPr fontId="1" type="noConversion"/>
  </si>
  <si>
    <t>米數</t>
    <phoneticPr fontId="1" type="noConversion"/>
  </si>
  <si>
    <t>風管支數</t>
    <phoneticPr fontId="1" type="noConversion"/>
  </si>
  <si>
    <t>3'×7'張數</t>
    <phoneticPr fontId="1" type="noConversion"/>
  </si>
  <si>
    <r>
      <t>M</t>
    </r>
    <r>
      <rPr>
        <vertAlign val="superscript"/>
        <sz val="15"/>
        <rFont val="新細明體"/>
        <family val="1"/>
        <charset val="136"/>
      </rPr>
      <t>2</t>
    </r>
    <r>
      <rPr>
        <sz val="15"/>
        <rFont val="新細明體"/>
        <family val="1"/>
        <charset val="136"/>
      </rPr>
      <t>數</t>
    </r>
    <phoneticPr fontId="1" type="noConversion"/>
  </si>
  <si>
    <t>保溫才數</t>
    <phoneticPr fontId="1" type="noConversion"/>
  </si>
  <si>
    <t>板材換算</t>
    <phoneticPr fontId="1" type="noConversion"/>
  </si>
  <si>
    <t>總重量</t>
    <phoneticPr fontId="1" type="noConversion"/>
  </si>
  <si>
    <t>L法蘭角</t>
    <phoneticPr fontId="1" type="noConversion"/>
  </si>
  <si>
    <t>法蘭夾片</t>
    <phoneticPr fontId="1" type="noConversion"/>
  </si>
  <si>
    <t>墊片(米)</t>
    <phoneticPr fontId="1" type="noConversion"/>
  </si>
  <si>
    <t>補強(長)</t>
    <phoneticPr fontId="1" type="noConversion"/>
  </si>
  <si>
    <t>補強(寬)</t>
    <phoneticPr fontId="1" type="noConversion"/>
  </si>
  <si>
    <t>補強米數</t>
    <phoneticPr fontId="1" type="noConversion"/>
  </si>
  <si>
    <t>配仔</t>
    <phoneticPr fontId="1" type="noConversion"/>
  </si>
  <si>
    <t>吊點(步)</t>
    <phoneticPr fontId="1" type="noConversion"/>
  </si>
  <si>
    <t>十字勾</t>
    <phoneticPr fontId="1" type="noConversion"/>
  </si>
  <si>
    <t>華司</t>
    <phoneticPr fontId="1" type="noConversion"/>
  </si>
  <si>
    <t>總計</t>
    <phoneticPr fontId="1" type="noConversion"/>
  </si>
  <si>
    <t>合      計</t>
    <phoneticPr fontId="1" type="noConversion"/>
  </si>
  <si>
    <r>
      <t xml:space="preserve">                       </t>
    </r>
    <r>
      <rPr>
        <b/>
        <sz val="22"/>
        <rFont val="標楷體"/>
        <family val="4"/>
        <charset val="136"/>
      </rPr>
      <t xml:space="preserve">   (</t>
    </r>
    <r>
      <rPr>
        <b/>
        <sz val="22"/>
        <color indexed="16"/>
        <rFont val="標楷體"/>
        <family val="4"/>
        <charset val="136"/>
      </rPr>
      <t>外保溫 1"厚</t>
    </r>
    <r>
      <rPr>
        <b/>
        <sz val="22"/>
        <rFont val="標楷體"/>
        <family val="4"/>
        <charset val="136"/>
      </rPr>
      <t>) 風管成本分析表</t>
    </r>
    <phoneticPr fontId="1" type="noConversion"/>
  </si>
  <si>
    <r>
      <t xml:space="preserve">                       </t>
    </r>
    <r>
      <rPr>
        <b/>
        <sz val="22"/>
        <rFont val="標楷體"/>
        <family val="4"/>
        <charset val="136"/>
      </rPr>
      <t xml:space="preserve">   (</t>
    </r>
    <r>
      <rPr>
        <b/>
        <sz val="22"/>
        <color indexed="16"/>
        <rFont val="標楷體"/>
        <family val="4"/>
        <charset val="136"/>
      </rPr>
      <t>不保溫不油漆</t>
    </r>
    <r>
      <rPr>
        <b/>
        <sz val="22"/>
        <rFont val="標楷體"/>
        <family val="4"/>
        <charset val="136"/>
      </rPr>
      <t>) 風管成本分析表</t>
    </r>
    <phoneticPr fontId="1" type="noConversion"/>
  </si>
  <si>
    <r>
      <t xml:space="preserve">                       </t>
    </r>
    <r>
      <rPr>
        <b/>
        <sz val="22"/>
        <rFont val="標楷體"/>
        <family val="4"/>
        <charset val="136"/>
      </rPr>
      <t xml:space="preserve">   (</t>
    </r>
    <r>
      <rPr>
        <b/>
        <sz val="22"/>
        <color indexed="16"/>
        <rFont val="標楷體"/>
        <family val="4"/>
        <charset val="136"/>
      </rPr>
      <t>內保6分外油漆</t>
    </r>
    <r>
      <rPr>
        <b/>
        <sz val="22"/>
        <rFont val="標楷體"/>
        <family val="4"/>
        <charset val="136"/>
      </rPr>
      <t>) 風管成本分析表</t>
    </r>
    <phoneticPr fontId="1" type="noConversion"/>
  </si>
  <si>
    <r>
      <t xml:space="preserve">                       </t>
    </r>
    <r>
      <rPr>
        <b/>
        <sz val="22"/>
        <rFont val="標楷體"/>
        <family val="4"/>
        <charset val="136"/>
      </rPr>
      <t xml:space="preserve">   (</t>
    </r>
    <r>
      <rPr>
        <b/>
        <sz val="22"/>
        <color indexed="16"/>
        <rFont val="標楷體"/>
        <family val="4"/>
        <charset val="136"/>
      </rPr>
      <t>不保溫外油漆</t>
    </r>
    <r>
      <rPr>
        <b/>
        <sz val="22"/>
        <rFont val="標楷體"/>
        <family val="4"/>
        <charset val="136"/>
      </rPr>
      <t>) 風管成本分析表</t>
    </r>
    <phoneticPr fontId="1" type="noConversion"/>
  </si>
  <si>
    <t xml:space="preserve"> 旭源企業有限公司</t>
    <phoneticPr fontId="1" type="noConversion"/>
  </si>
  <si>
    <t xml:space="preserve">                                                              公司地址:台北縣五股鄉成泰路1段98巷16-56號</t>
    <phoneticPr fontId="1" type="noConversion"/>
  </si>
  <si>
    <r>
      <t xml:space="preserve">                                                              工廠地址:台北縣五股鄉成泰路1段98巷16-56號      </t>
    </r>
    <r>
      <rPr>
        <sz val="12"/>
        <rFont val="新細明體"/>
        <family val="1"/>
        <charset val="136"/>
      </rPr>
      <t/>
    </r>
    <phoneticPr fontId="1" type="noConversion"/>
  </si>
  <si>
    <r>
      <t xml:space="preserve">                       </t>
    </r>
    <r>
      <rPr>
        <b/>
        <sz val="22"/>
        <rFont val="標楷體"/>
        <family val="4"/>
        <charset val="136"/>
      </rPr>
      <t xml:space="preserve">   (</t>
    </r>
    <r>
      <rPr>
        <b/>
        <sz val="22"/>
        <color indexed="16"/>
        <rFont val="標楷體"/>
        <family val="4"/>
        <charset val="136"/>
      </rPr>
      <t>不保溫外油漆</t>
    </r>
    <r>
      <rPr>
        <b/>
        <sz val="22"/>
        <rFont val="標楷體"/>
        <family val="4"/>
        <charset val="136"/>
      </rPr>
      <t>) 風管成本分析表</t>
    </r>
    <phoneticPr fontId="1" type="noConversion"/>
  </si>
  <si>
    <t>工程名稱:</t>
    <phoneticPr fontId="1" type="noConversion"/>
  </si>
  <si>
    <r>
      <t xml:space="preserve">客    戶:               </t>
    </r>
    <r>
      <rPr>
        <sz val="12"/>
        <rFont val="新細明體"/>
        <family val="1"/>
        <charset val="136"/>
      </rPr>
      <t/>
    </r>
    <phoneticPr fontId="1" type="noConversion"/>
  </si>
  <si>
    <t xml:space="preserve">                                   中華民國96年11月8日</t>
    <phoneticPr fontId="1" type="noConversion"/>
  </si>
  <si>
    <r>
      <t>長</t>
    </r>
    <r>
      <rPr>
        <vertAlign val="subscript"/>
        <sz val="15"/>
        <rFont val="新細明體"/>
        <family val="1"/>
        <charset val="136"/>
      </rPr>
      <t>CM</t>
    </r>
    <phoneticPr fontId="1" type="noConversion"/>
  </si>
  <si>
    <r>
      <t>寬</t>
    </r>
    <r>
      <rPr>
        <vertAlign val="subscript"/>
        <sz val="15"/>
        <rFont val="新細明體"/>
        <family val="1"/>
        <charset val="136"/>
      </rPr>
      <t>CM</t>
    </r>
    <phoneticPr fontId="1" type="noConversion"/>
  </si>
  <si>
    <t>米數</t>
    <phoneticPr fontId="1" type="noConversion"/>
  </si>
  <si>
    <t>風管支數</t>
    <phoneticPr fontId="1" type="noConversion"/>
  </si>
  <si>
    <t>3'×7'張數</t>
    <phoneticPr fontId="1" type="noConversion"/>
  </si>
  <si>
    <r>
      <t>M</t>
    </r>
    <r>
      <rPr>
        <vertAlign val="superscript"/>
        <sz val="15"/>
        <rFont val="新細明體"/>
        <family val="1"/>
        <charset val="136"/>
      </rPr>
      <t>2</t>
    </r>
    <r>
      <rPr>
        <sz val="15"/>
        <rFont val="新細明體"/>
        <family val="1"/>
        <charset val="136"/>
      </rPr>
      <t>數</t>
    </r>
    <phoneticPr fontId="1" type="noConversion"/>
  </si>
  <si>
    <t>保溫才數</t>
    <phoneticPr fontId="1" type="noConversion"/>
  </si>
  <si>
    <t>板材換算</t>
    <phoneticPr fontId="1" type="noConversion"/>
  </si>
  <si>
    <t>總重量</t>
    <phoneticPr fontId="1" type="noConversion"/>
  </si>
  <si>
    <t>L法蘭角</t>
    <phoneticPr fontId="1" type="noConversion"/>
  </si>
  <si>
    <t>法蘭夾片</t>
    <phoneticPr fontId="1" type="noConversion"/>
  </si>
  <si>
    <t>墊片(米)</t>
    <phoneticPr fontId="1" type="noConversion"/>
  </si>
  <si>
    <t>補強(長)</t>
    <phoneticPr fontId="1" type="noConversion"/>
  </si>
  <si>
    <t>補強(寬)</t>
    <phoneticPr fontId="1" type="noConversion"/>
  </si>
  <si>
    <t>補強米數</t>
    <phoneticPr fontId="1" type="noConversion"/>
  </si>
  <si>
    <t>配仔</t>
    <phoneticPr fontId="1" type="noConversion"/>
  </si>
  <si>
    <t>吊點(步)</t>
    <phoneticPr fontId="1" type="noConversion"/>
  </si>
  <si>
    <t>十字勾</t>
    <phoneticPr fontId="1" type="noConversion"/>
  </si>
  <si>
    <t>華司</t>
    <phoneticPr fontId="1" type="noConversion"/>
  </si>
  <si>
    <t>總計</t>
    <phoneticPr fontId="1" type="noConversion"/>
  </si>
  <si>
    <t>合      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</si>
</sst>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83" formatCode="0_ "/>
    <numFmt numFmtId="184" formatCode="&quot;$&quot;#,##0"/>
    <numFmt numFmtId="186" formatCode="#,##0;[Red]#,##0"/>
    <numFmt numFmtId="188" formatCode="#,##0_ "/>
    <numFmt numFmtId="189" formatCode="0.0_ "/>
    <numFmt numFmtId="190" formatCode="#,##0.0;[Red]#,##0.0"/>
  </numFmts>
  <fonts count="16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b/>
      <sz val="22"/>
      <name val="標楷體"/>
      <family val="4"/>
      <charset val="136"/>
    </font>
    <font>
      <sz val="14"/>
      <name val="新細明體"/>
      <family val="1"/>
      <charset val="136"/>
    </font>
    <font>
      <sz val="18"/>
      <name val="新細明體"/>
      <family val="1"/>
      <charset val="136"/>
    </font>
    <font>
      <sz val="18"/>
      <name val="標楷體"/>
      <family val="4"/>
      <charset val="136"/>
    </font>
    <font>
      <b/>
      <sz val="18"/>
      <name val="標楷體"/>
      <family val="4"/>
      <charset val="136"/>
    </font>
    <font>
      <b/>
      <sz val="24"/>
      <name val="標楷體"/>
      <family val="4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sz val="20"/>
      <name val="標楷體"/>
      <family val="4"/>
      <charset val="136"/>
    </font>
    <font>
      <sz val="15"/>
      <name val="新細明體"/>
      <family val="1"/>
      <charset val="136"/>
    </font>
    <font>
      <vertAlign val="subscript"/>
      <sz val="15"/>
      <name val="新細明體"/>
      <family val="1"/>
      <charset val="136"/>
    </font>
    <font>
      <vertAlign val="superscript"/>
      <sz val="15"/>
      <name val="新細明體"/>
      <family val="1"/>
      <charset val="136"/>
    </font>
    <font>
      <b/>
      <sz val="22"/>
      <color indexed="16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183" fontId="6" fillId="0" borderId="3" xfId="0" applyNumberFormat="1" applyFont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83" fontId="6" fillId="0" borderId="1" xfId="0" applyNumberFormat="1" applyFont="1" applyBorder="1" applyAlignment="1" applyProtection="1">
      <alignment vertical="center"/>
      <protection locked="0"/>
    </xf>
    <xf numFmtId="183" fontId="6" fillId="0" borderId="1" xfId="0" applyNumberFormat="1" applyFont="1" applyBorder="1" applyAlignment="1" applyProtection="1">
      <alignment horizontal="center" vertical="center"/>
      <protection locked="0"/>
    </xf>
    <xf numFmtId="43" fontId="5" fillId="0" borderId="1" xfId="0" applyNumberFormat="1" applyFont="1" applyBorder="1" applyAlignment="1">
      <alignment horizontal="right" vertical="center"/>
    </xf>
    <xf numFmtId="43" fontId="5" fillId="0" borderId="4" xfId="0" applyNumberFormat="1" applyFont="1" applyBorder="1" applyAlignment="1">
      <alignment horizontal="right" vertical="center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 wrapText="1"/>
    </xf>
    <xf numFmtId="41" fontId="6" fillId="0" borderId="1" xfId="0" applyNumberFormat="1" applyFont="1" applyBorder="1" applyAlignment="1" applyProtection="1">
      <alignment horizontal="right" vertical="center" wrapText="1"/>
    </xf>
    <xf numFmtId="188" fontId="6" fillId="0" borderId="1" xfId="0" applyNumberFormat="1" applyFont="1" applyBorder="1" applyAlignment="1" applyProtection="1">
      <alignment horizontal="right" vertical="center" wrapText="1"/>
    </xf>
    <xf numFmtId="43" fontId="6" fillId="0" borderId="1" xfId="0" applyNumberFormat="1" applyFont="1" applyBorder="1" applyAlignment="1" applyProtection="1">
      <alignment horizontal="right" vertical="center" wrapText="1"/>
    </xf>
    <xf numFmtId="184" fontId="6" fillId="0" borderId="1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41" fontId="5" fillId="0" borderId="1" xfId="0" applyNumberFormat="1" applyFont="1" applyBorder="1" applyAlignment="1">
      <alignment horizontal="center" vertical="center"/>
    </xf>
    <xf numFmtId="41" fontId="5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vertical="center"/>
      <protection locked="0"/>
    </xf>
    <xf numFmtId="183" fontId="7" fillId="0" borderId="4" xfId="0" applyNumberFormat="1" applyFont="1" applyBorder="1" applyAlignment="1" applyProtection="1">
      <alignment horizontal="center" vertical="center"/>
      <protection locked="0"/>
    </xf>
    <xf numFmtId="183" fontId="6" fillId="4" borderId="3" xfId="0" applyNumberFormat="1" applyFont="1" applyFill="1" applyBorder="1" applyAlignment="1" applyProtection="1">
      <alignment horizontal="right" vertical="center" wrapText="1"/>
    </xf>
    <xf numFmtId="0" fontId="2" fillId="0" borderId="4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</xf>
    <xf numFmtId="186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84" fontId="6" fillId="0" borderId="4" xfId="0" applyNumberFormat="1" applyFont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189" fontId="6" fillId="0" borderId="1" xfId="0" applyNumberFormat="1" applyFont="1" applyBorder="1" applyAlignment="1" applyProtection="1">
      <alignment horizontal="center" vertical="center"/>
      <protection locked="0"/>
    </xf>
    <xf numFmtId="190" fontId="6" fillId="0" borderId="1" xfId="0" applyNumberFormat="1" applyFont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center" vertical="center"/>
    </xf>
    <xf numFmtId="41" fontId="5" fillId="5" borderId="1" xfId="0" applyNumberFormat="1" applyFont="1" applyFill="1" applyBorder="1" applyAlignment="1">
      <alignment horizontal="center" vertical="center"/>
    </xf>
    <xf numFmtId="43" fontId="5" fillId="5" borderId="1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 applyProtection="1">
      <alignment horizontal="center" vertical="center" wrapText="1"/>
    </xf>
    <xf numFmtId="0" fontId="6" fillId="6" borderId="3" xfId="0" applyFont="1" applyFill="1" applyBorder="1" applyAlignment="1" applyProtection="1">
      <alignment horizontal="center" vertical="center" wrapText="1"/>
    </xf>
    <xf numFmtId="183" fontId="6" fillId="6" borderId="3" xfId="0" applyNumberFormat="1" applyFont="1" applyFill="1" applyBorder="1" applyAlignment="1" applyProtection="1">
      <alignment horizontal="center" vertical="center" wrapText="1"/>
    </xf>
    <xf numFmtId="41" fontId="5" fillId="6" borderId="1" xfId="0" applyNumberFormat="1" applyFont="1" applyFill="1" applyBorder="1" applyAlignment="1">
      <alignment horizontal="center" vertical="center"/>
    </xf>
    <xf numFmtId="41" fontId="5" fillId="6" borderId="4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83" fontId="6" fillId="6" borderId="1" xfId="0" applyNumberFormat="1" applyFont="1" applyFill="1" applyBorder="1" applyAlignment="1" applyProtection="1">
      <alignment horizontal="center" vertical="center"/>
      <protection locked="0"/>
    </xf>
    <xf numFmtId="189" fontId="6" fillId="6" borderId="1" xfId="0" applyNumberFormat="1" applyFont="1" applyFill="1" applyBorder="1" applyAlignment="1" applyProtection="1">
      <alignment horizontal="center" vertical="center"/>
      <protection locked="0"/>
    </xf>
    <xf numFmtId="190" fontId="6" fillId="6" borderId="1" xfId="0" applyNumberFormat="1" applyFont="1" applyFill="1" applyBorder="1" applyAlignment="1" applyProtection="1">
      <alignment horizontal="center" vertical="center"/>
      <protection locked="0"/>
    </xf>
    <xf numFmtId="186" fontId="6" fillId="6" borderId="4" xfId="0" applyNumberFormat="1" applyFont="1" applyFill="1" applyBorder="1" applyAlignment="1" applyProtection="1">
      <alignment horizontal="center" vertical="center"/>
      <protection locked="0"/>
    </xf>
    <xf numFmtId="183" fontId="7" fillId="6" borderId="4" xfId="0" applyNumberFormat="1" applyFont="1" applyFill="1" applyBorder="1" applyAlignment="1" applyProtection="1">
      <alignment horizontal="center" vertical="center"/>
      <protection locked="0"/>
    </xf>
    <xf numFmtId="183" fontId="6" fillId="6" borderId="1" xfId="0" applyNumberFormat="1" applyFont="1" applyFill="1" applyBorder="1" applyAlignment="1" applyProtection="1">
      <alignment vertical="center"/>
      <protection locked="0"/>
    </xf>
    <xf numFmtId="0" fontId="2" fillId="6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11" fillId="7" borderId="4" xfId="0" applyFont="1" applyFill="1" applyBorder="1" applyAlignment="1" applyProtection="1">
      <alignment horizontal="center" vertical="center" wrapText="1"/>
    </xf>
    <xf numFmtId="0" fontId="6" fillId="7" borderId="5" xfId="0" applyFont="1" applyFill="1" applyBorder="1" applyAlignment="1" applyProtection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19050</xdr:rowOff>
    </xdr:from>
    <xdr:to>
      <xdr:col>17</xdr:col>
      <xdr:colOff>790575</xdr:colOff>
      <xdr:row>5</xdr:row>
      <xdr:rowOff>47625</xdr:rowOff>
    </xdr:to>
    <xdr:sp macro="" textlink="">
      <xdr:nvSpPr>
        <xdr:cNvPr id="79873" name="Text Box 1"/>
        <xdr:cNvSpPr txBox="1">
          <a:spLocks noChangeArrowheads="1"/>
        </xdr:cNvSpPr>
      </xdr:nvSpPr>
      <xdr:spPr bwMode="auto">
        <a:xfrm>
          <a:off x="10829925" y="1257300"/>
          <a:ext cx="40957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統一編號:97078475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電    話:(02)82921166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傳    真:(02)82921155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19050</xdr:rowOff>
    </xdr:from>
    <xdr:to>
      <xdr:col>17</xdr:col>
      <xdr:colOff>790575</xdr:colOff>
      <xdr:row>5</xdr:row>
      <xdr:rowOff>47625</xdr:rowOff>
    </xdr:to>
    <xdr:sp macro="" textlink="">
      <xdr:nvSpPr>
        <xdr:cNvPr id="86017" name="Text Box 1"/>
        <xdr:cNvSpPr txBox="1">
          <a:spLocks noChangeArrowheads="1"/>
        </xdr:cNvSpPr>
      </xdr:nvSpPr>
      <xdr:spPr bwMode="auto">
        <a:xfrm>
          <a:off x="10829925" y="1257300"/>
          <a:ext cx="38385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統一編號:97078475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電    話:(02)82921166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傳    真:(02)82921155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19050</xdr:rowOff>
    </xdr:from>
    <xdr:to>
      <xdr:col>17</xdr:col>
      <xdr:colOff>790575</xdr:colOff>
      <xdr:row>5</xdr:row>
      <xdr:rowOff>47625</xdr:rowOff>
    </xdr:to>
    <xdr:sp macro="" textlink="">
      <xdr:nvSpPr>
        <xdr:cNvPr id="87041" name="Text Box 1"/>
        <xdr:cNvSpPr txBox="1">
          <a:spLocks noChangeArrowheads="1"/>
        </xdr:cNvSpPr>
      </xdr:nvSpPr>
      <xdr:spPr bwMode="auto">
        <a:xfrm>
          <a:off x="10829925" y="1257300"/>
          <a:ext cx="39909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統一編號:97078475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電    話:(02)82921166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傳    真:(02)82921155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19050</xdr:rowOff>
    </xdr:from>
    <xdr:to>
      <xdr:col>17</xdr:col>
      <xdr:colOff>790575</xdr:colOff>
      <xdr:row>5</xdr:row>
      <xdr:rowOff>47625</xdr:rowOff>
    </xdr:to>
    <xdr:sp macro="" textlink="">
      <xdr:nvSpPr>
        <xdr:cNvPr id="88065" name="Text Box 1"/>
        <xdr:cNvSpPr txBox="1">
          <a:spLocks noChangeArrowheads="1"/>
        </xdr:cNvSpPr>
      </xdr:nvSpPr>
      <xdr:spPr bwMode="auto">
        <a:xfrm>
          <a:off x="10829925" y="1257300"/>
          <a:ext cx="38385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統一編號:97078475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電    話:(02)82921166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傳    真:(02)82921155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19050</xdr:rowOff>
    </xdr:from>
    <xdr:to>
      <xdr:col>17</xdr:col>
      <xdr:colOff>790575</xdr:colOff>
      <xdr:row>5</xdr:row>
      <xdr:rowOff>47625</xdr:rowOff>
    </xdr:to>
    <xdr:sp macro="" textlink="">
      <xdr:nvSpPr>
        <xdr:cNvPr id="91137" name="Text Box 1"/>
        <xdr:cNvSpPr txBox="1">
          <a:spLocks noChangeArrowheads="1"/>
        </xdr:cNvSpPr>
      </xdr:nvSpPr>
      <xdr:spPr bwMode="auto">
        <a:xfrm>
          <a:off x="10829925" y="1257300"/>
          <a:ext cx="38385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統一編號:97078475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電    話:(02)82921166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傳    真:(02)82921155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S141"/>
  <sheetViews>
    <sheetView showZeros="0" tabSelected="1" view="pageBreakPreview" zoomScale="75" zoomScaleNormal="75" zoomScaleSheetLayoutView="75" workbookViewId="0">
      <pane xSplit="19" ySplit="8" topLeftCell="T9" activePane="bottomRight" state="frozen"/>
      <selection pane="topRight" activeCell="T1" sqref="T1"/>
      <selection pane="bottomLeft" activeCell="A9" sqref="A9"/>
      <selection pane="bottomRight" activeCell="A10" sqref="A10"/>
    </sheetView>
  </sheetViews>
  <sheetFormatPr defaultRowHeight="24" customHeight="1" x14ac:dyDescent="0.25"/>
  <cols>
    <col min="1" max="1" width="7.75" style="2" customWidth="1"/>
    <col min="2" max="2" width="7.375" style="2" customWidth="1"/>
    <col min="3" max="3" width="9.5" style="2" customWidth="1"/>
    <col min="4" max="4" width="9.625" style="2" customWidth="1"/>
    <col min="5" max="5" width="12.125" style="2" customWidth="1"/>
    <col min="6" max="6" width="12.5" style="2" customWidth="1"/>
    <col min="7" max="7" width="13.5" style="2" customWidth="1"/>
    <col min="8" max="8" width="10.625" style="2" customWidth="1"/>
    <col min="9" max="9" width="11.75" style="2" customWidth="1"/>
    <col min="10" max="10" width="10.625" style="2" customWidth="1"/>
    <col min="11" max="11" width="11.125" style="2" customWidth="1"/>
    <col min="12" max="12" width="10.625" style="2" customWidth="1"/>
    <col min="13" max="13" width="11.5" style="2" customWidth="1"/>
    <col min="14" max="14" width="10.75" style="2" customWidth="1"/>
    <col min="15" max="15" width="14.875" style="2" customWidth="1"/>
    <col min="16" max="16" width="9.75" style="2" customWidth="1"/>
    <col min="17" max="18" width="11.5" style="2" customWidth="1"/>
    <col min="19" max="19" width="12.375" style="2" customWidth="1"/>
    <col min="20" max="16384" width="9" style="2"/>
  </cols>
  <sheetData>
    <row r="1" spans="1:19" ht="50.1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30"/>
    </row>
    <row r="2" spans="1:19" ht="24" customHeight="1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8"/>
    </row>
    <row r="3" spans="1:19" ht="24" customHeight="1" x14ac:dyDescent="0.25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8"/>
    </row>
    <row r="4" spans="1:19" ht="28.5" customHeight="1" x14ac:dyDescent="0.25">
      <c r="A4" s="59" t="s">
        <v>54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29"/>
    </row>
    <row r="5" spans="1:19" ht="24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29"/>
    </row>
    <row r="6" spans="1:19" ht="24" customHeight="1" x14ac:dyDescent="0.25">
      <c r="A6" s="65" t="s">
        <v>3</v>
      </c>
      <c r="B6" s="65"/>
      <c r="C6" s="65"/>
      <c r="D6" s="65"/>
      <c r="E6" s="65"/>
      <c r="F6" s="66"/>
      <c r="G6" s="66"/>
      <c r="H6" s="66"/>
      <c r="I6" s="18"/>
      <c r="J6" s="18"/>
      <c r="K6" s="18"/>
      <c r="L6" s="18"/>
      <c r="M6" s="18"/>
      <c r="N6" s="18"/>
      <c r="O6" s="18"/>
      <c r="P6" s="18"/>
      <c r="Q6" s="18"/>
    </row>
    <row r="7" spans="1:19" ht="24" customHeight="1" x14ac:dyDescent="0.25">
      <c r="A7" s="64" t="s">
        <v>4</v>
      </c>
      <c r="B7" s="64"/>
      <c r="C7" s="64"/>
      <c r="D7" s="64"/>
      <c r="E7" s="64"/>
      <c r="F7" s="67" t="s">
        <v>5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32"/>
    </row>
    <row r="8" spans="1:19" s="1" customFormat="1" ht="24" customHeight="1" x14ac:dyDescent="0.25">
      <c r="A8" s="37" t="s">
        <v>6</v>
      </c>
      <c r="B8" s="37" t="s">
        <v>7</v>
      </c>
      <c r="C8" s="37" t="s">
        <v>8</v>
      </c>
      <c r="D8" s="37" t="s">
        <v>9</v>
      </c>
      <c r="E8" s="42" t="s">
        <v>10</v>
      </c>
      <c r="F8" s="37" t="s">
        <v>11</v>
      </c>
      <c r="G8" s="38" t="s">
        <v>12</v>
      </c>
      <c r="H8" s="37" t="s">
        <v>13</v>
      </c>
      <c r="I8" s="39" t="s">
        <v>14</v>
      </c>
      <c r="J8" s="39" t="s">
        <v>15</v>
      </c>
      <c r="K8" s="39" t="s">
        <v>16</v>
      </c>
      <c r="L8" s="39" t="s">
        <v>17</v>
      </c>
      <c r="M8" s="19" t="s">
        <v>18</v>
      </c>
      <c r="N8" s="19" t="s">
        <v>19</v>
      </c>
      <c r="O8" s="31" t="s">
        <v>20</v>
      </c>
      <c r="P8" s="3" t="s">
        <v>21</v>
      </c>
      <c r="Q8" s="36" t="s">
        <v>22</v>
      </c>
      <c r="R8" s="27" t="s">
        <v>23</v>
      </c>
      <c r="S8" s="26" t="s">
        <v>24</v>
      </c>
    </row>
    <row r="9" spans="1:19" ht="24" customHeight="1" x14ac:dyDescent="0.25">
      <c r="A9" s="4">
        <v>80</v>
      </c>
      <c r="B9" s="5">
        <v>40</v>
      </c>
      <c r="C9" s="5">
        <v>3</v>
      </c>
      <c r="D9" s="6">
        <f t="shared" ref="D9:D137" si="0">C9/1.2</f>
        <v>2.5</v>
      </c>
      <c r="E9" s="43">
        <f t="shared" ref="E9:E37" si="1">(A9+B9)*2*C9/9.29*1.2/21</f>
        <v>4.4287252037521148</v>
      </c>
      <c r="F9" s="20">
        <f t="shared" ref="F9:F37" si="2">(A9+B9)*2*C9/9.29*1.2/10.76</f>
        <v>8.6434227954269893</v>
      </c>
      <c r="G9" s="21">
        <f t="shared" ref="G9:G37" si="3">(A9+B9)*2*C9/9.29*1.2</f>
        <v>93.003229278794407</v>
      </c>
      <c r="H9" s="7" t="str">
        <f t="shared" ref="H9:H37" si="4">IF(A9=0,"",IF(A9&lt;31,"26#",IF(A9&lt;76,"24#",IF(A9&lt;151,"22#",IF(A9&lt;225,"20#",IF(A9&lt;300,"18#"))))))</f>
        <v>22#</v>
      </c>
      <c r="I9" s="9">
        <f t="shared" ref="I9:I37" si="5">((A9+B9)*2*7.85*C9)/100</f>
        <v>56.52</v>
      </c>
      <c r="J9" s="9">
        <f t="shared" ref="J9:J37" si="6">(C9/1.2)*8</f>
        <v>20</v>
      </c>
      <c r="K9" s="9">
        <f t="shared" ref="K9:K37" si="7">(((A9+B9)*2)/15)*D9</f>
        <v>40</v>
      </c>
      <c r="L9" s="40">
        <f t="shared" ref="L9:L37" si="8">(((A9+B9)*2)*D9)/100</f>
        <v>6</v>
      </c>
      <c r="M9" s="9" t="str">
        <f t="shared" ref="M9:M37" si="9">IF(A9=0,"",IF(A9&lt;75,"0",IF(A9&lt;150,"1",IF(A9&lt;300,"2",IF(A9&lt;450,"3")))))</f>
        <v>1</v>
      </c>
      <c r="N9" s="9" t="str">
        <f t="shared" ref="N9:N37" si="10">IF(B9=0,"",IF(B9&lt;75,"0",IF(B9&lt;150,"1",IF(B9&lt;300,"2"))))</f>
        <v>0</v>
      </c>
      <c r="O9" s="40">
        <f t="shared" ref="O9:O37" si="11">(((B9/100)*M9)+((A9/100)*N9))*D9</f>
        <v>1</v>
      </c>
      <c r="P9" s="41">
        <f t="shared" ref="P9:P37" si="12">(C9/2.2)*((A9+10)/100)</f>
        <v>1.2272727272727273</v>
      </c>
      <c r="Q9" s="33">
        <f t="shared" ref="Q9:Q37" si="13">C9/2.2</f>
        <v>1.3636363636363635</v>
      </c>
      <c r="R9" s="23">
        <f t="shared" ref="R9:R37" si="14">(M9*N9)*D9</f>
        <v>0</v>
      </c>
      <c r="S9" s="8">
        <f t="shared" ref="S9:S37" si="15">((M9+N9)*4)*D9</f>
        <v>10</v>
      </c>
    </row>
    <row r="10" spans="1:19" ht="24" customHeight="1" x14ac:dyDescent="0.25">
      <c r="A10" s="4">
        <v>65</v>
      </c>
      <c r="B10" s="5">
        <v>35</v>
      </c>
      <c r="C10" s="5">
        <v>8</v>
      </c>
      <c r="D10" s="6">
        <f t="shared" si="0"/>
        <v>6.666666666666667</v>
      </c>
      <c r="E10" s="43">
        <f t="shared" si="1"/>
        <v>9.8416115638935882</v>
      </c>
      <c r="F10" s="20">
        <f t="shared" si="2"/>
        <v>19.207606212059979</v>
      </c>
      <c r="G10" s="21">
        <f t="shared" si="3"/>
        <v>206.67384284176535</v>
      </c>
      <c r="H10" s="7" t="str">
        <f t="shared" si="4"/>
        <v>24#</v>
      </c>
      <c r="I10" s="9">
        <f t="shared" si="5"/>
        <v>125.6</v>
      </c>
      <c r="J10" s="9">
        <f t="shared" si="6"/>
        <v>53.333333333333336</v>
      </c>
      <c r="K10" s="9">
        <f t="shared" si="7"/>
        <v>88.8888888888889</v>
      </c>
      <c r="L10" s="40">
        <f t="shared" si="8"/>
        <v>13.333333333333336</v>
      </c>
      <c r="M10" s="9" t="str">
        <f t="shared" si="9"/>
        <v>0</v>
      </c>
      <c r="N10" s="9" t="str">
        <f t="shared" si="10"/>
        <v>0</v>
      </c>
      <c r="O10" s="40">
        <f t="shared" si="11"/>
        <v>0</v>
      </c>
      <c r="P10" s="41">
        <f t="shared" si="12"/>
        <v>2.7272727272727271</v>
      </c>
      <c r="Q10" s="33">
        <f t="shared" si="13"/>
        <v>3.6363636363636362</v>
      </c>
      <c r="R10" s="23">
        <f t="shared" si="14"/>
        <v>0</v>
      </c>
      <c r="S10" s="8">
        <f t="shared" si="15"/>
        <v>0</v>
      </c>
    </row>
    <row r="11" spans="1:19" ht="24" customHeight="1" x14ac:dyDescent="0.25">
      <c r="A11" s="4">
        <v>55</v>
      </c>
      <c r="B11" s="5">
        <v>25</v>
      </c>
      <c r="C11" s="5">
        <v>8</v>
      </c>
      <c r="D11" s="6">
        <f t="shared" si="0"/>
        <v>6.666666666666667</v>
      </c>
      <c r="E11" s="43">
        <f t="shared" si="1"/>
        <v>7.8732892511148718</v>
      </c>
      <c r="F11" s="20">
        <f t="shared" si="2"/>
        <v>15.366084969647984</v>
      </c>
      <c r="G11" s="21">
        <f t="shared" si="3"/>
        <v>165.33907427341231</v>
      </c>
      <c r="H11" s="7" t="str">
        <f t="shared" si="4"/>
        <v>24#</v>
      </c>
      <c r="I11" s="9">
        <f t="shared" si="5"/>
        <v>100.48</v>
      </c>
      <c r="J11" s="9">
        <f t="shared" si="6"/>
        <v>53.333333333333336</v>
      </c>
      <c r="K11" s="9">
        <f t="shared" si="7"/>
        <v>71.111111111111114</v>
      </c>
      <c r="L11" s="40">
        <f t="shared" si="8"/>
        <v>10.666666666666668</v>
      </c>
      <c r="M11" s="9" t="str">
        <f t="shared" si="9"/>
        <v>0</v>
      </c>
      <c r="N11" s="9" t="str">
        <f t="shared" si="10"/>
        <v>0</v>
      </c>
      <c r="O11" s="40">
        <f t="shared" si="11"/>
        <v>0</v>
      </c>
      <c r="P11" s="41">
        <f t="shared" si="12"/>
        <v>2.3636363636363638</v>
      </c>
      <c r="Q11" s="33">
        <f t="shared" si="13"/>
        <v>3.6363636363636362</v>
      </c>
      <c r="R11" s="23">
        <f t="shared" si="14"/>
        <v>0</v>
      </c>
      <c r="S11" s="8">
        <f t="shared" si="15"/>
        <v>0</v>
      </c>
    </row>
    <row r="12" spans="1:19" ht="24" customHeight="1" x14ac:dyDescent="0.25">
      <c r="A12" s="4"/>
      <c r="B12" s="5"/>
      <c r="C12" s="5"/>
      <c r="D12" s="6">
        <f t="shared" si="0"/>
        <v>0</v>
      </c>
      <c r="E12" s="43">
        <f t="shared" si="1"/>
        <v>0</v>
      </c>
      <c r="F12" s="20">
        <f t="shared" si="2"/>
        <v>0</v>
      </c>
      <c r="G12" s="21">
        <f t="shared" si="3"/>
        <v>0</v>
      </c>
      <c r="H12" s="7" t="str">
        <f t="shared" si="4"/>
        <v/>
      </c>
      <c r="I12" s="9">
        <f t="shared" si="5"/>
        <v>0</v>
      </c>
      <c r="J12" s="9">
        <f t="shared" si="6"/>
        <v>0</v>
      </c>
      <c r="K12" s="9">
        <f t="shared" si="7"/>
        <v>0</v>
      </c>
      <c r="L12" s="40">
        <f t="shared" si="8"/>
        <v>0</v>
      </c>
      <c r="M12" s="9" t="str">
        <f t="shared" si="9"/>
        <v/>
      </c>
      <c r="N12" s="9" t="str">
        <f t="shared" si="10"/>
        <v/>
      </c>
      <c r="O12" s="40" t="e">
        <f t="shared" si="11"/>
        <v>#VALUE!</v>
      </c>
      <c r="P12" s="41">
        <f t="shared" si="12"/>
        <v>0</v>
      </c>
      <c r="Q12" s="33">
        <f t="shared" si="13"/>
        <v>0</v>
      </c>
      <c r="R12" s="23" t="e">
        <f t="shared" si="14"/>
        <v>#VALUE!</v>
      </c>
      <c r="S12" s="8" t="e">
        <f t="shared" si="15"/>
        <v>#VALUE!</v>
      </c>
    </row>
    <row r="13" spans="1:19" ht="24" customHeight="1" x14ac:dyDescent="0.25">
      <c r="A13" s="4"/>
      <c r="B13" s="5"/>
      <c r="C13" s="5"/>
      <c r="D13" s="6">
        <f t="shared" si="0"/>
        <v>0</v>
      </c>
      <c r="E13" s="43">
        <f t="shared" si="1"/>
        <v>0</v>
      </c>
      <c r="F13" s="20">
        <f t="shared" si="2"/>
        <v>0</v>
      </c>
      <c r="G13" s="21">
        <f t="shared" si="3"/>
        <v>0</v>
      </c>
      <c r="H13" s="7" t="str">
        <f t="shared" si="4"/>
        <v/>
      </c>
      <c r="I13" s="9">
        <f t="shared" si="5"/>
        <v>0</v>
      </c>
      <c r="J13" s="9">
        <f t="shared" si="6"/>
        <v>0</v>
      </c>
      <c r="K13" s="9">
        <f t="shared" si="7"/>
        <v>0</v>
      </c>
      <c r="L13" s="40">
        <f t="shared" si="8"/>
        <v>0</v>
      </c>
      <c r="M13" s="9" t="str">
        <f t="shared" si="9"/>
        <v/>
      </c>
      <c r="N13" s="9" t="str">
        <f t="shared" si="10"/>
        <v/>
      </c>
      <c r="O13" s="40" t="e">
        <f t="shared" si="11"/>
        <v>#VALUE!</v>
      </c>
      <c r="P13" s="41">
        <f t="shared" si="12"/>
        <v>0</v>
      </c>
      <c r="Q13" s="33">
        <f t="shared" si="13"/>
        <v>0</v>
      </c>
      <c r="R13" s="23" t="e">
        <f t="shared" si="14"/>
        <v>#VALUE!</v>
      </c>
      <c r="S13" s="8" t="e">
        <f t="shared" si="15"/>
        <v>#VALUE!</v>
      </c>
    </row>
    <row r="14" spans="1:19" ht="24" customHeight="1" x14ac:dyDescent="0.25">
      <c r="A14" s="4"/>
      <c r="B14" s="5"/>
      <c r="C14" s="5"/>
      <c r="D14" s="6">
        <f t="shared" si="0"/>
        <v>0</v>
      </c>
      <c r="E14" s="43">
        <f t="shared" si="1"/>
        <v>0</v>
      </c>
      <c r="F14" s="20">
        <f t="shared" si="2"/>
        <v>0</v>
      </c>
      <c r="G14" s="21">
        <f t="shared" si="3"/>
        <v>0</v>
      </c>
      <c r="H14" s="7" t="str">
        <f t="shared" si="4"/>
        <v/>
      </c>
      <c r="I14" s="9">
        <f t="shared" si="5"/>
        <v>0</v>
      </c>
      <c r="J14" s="9">
        <f t="shared" si="6"/>
        <v>0</v>
      </c>
      <c r="K14" s="9">
        <f t="shared" si="7"/>
        <v>0</v>
      </c>
      <c r="L14" s="40">
        <f t="shared" si="8"/>
        <v>0</v>
      </c>
      <c r="M14" s="9" t="str">
        <f t="shared" si="9"/>
        <v/>
      </c>
      <c r="N14" s="9" t="str">
        <f t="shared" si="10"/>
        <v/>
      </c>
      <c r="O14" s="40" t="e">
        <f t="shared" si="11"/>
        <v>#VALUE!</v>
      </c>
      <c r="P14" s="41">
        <f t="shared" si="12"/>
        <v>0</v>
      </c>
      <c r="Q14" s="33">
        <f t="shared" si="13"/>
        <v>0</v>
      </c>
      <c r="R14" s="23" t="e">
        <f t="shared" si="14"/>
        <v>#VALUE!</v>
      </c>
      <c r="S14" s="8" t="e">
        <f t="shared" si="15"/>
        <v>#VALUE!</v>
      </c>
    </row>
    <row r="15" spans="1:19" ht="24" customHeight="1" x14ac:dyDescent="0.25">
      <c r="A15" s="4"/>
      <c r="B15" s="5"/>
      <c r="C15" s="5"/>
      <c r="D15" s="6">
        <f t="shared" si="0"/>
        <v>0</v>
      </c>
      <c r="E15" s="43">
        <f t="shared" si="1"/>
        <v>0</v>
      </c>
      <c r="F15" s="20">
        <f t="shared" si="2"/>
        <v>0</v>
      </c>
      <c r="G15" s="21">
        <f t="shared" si="3"/>
        <v>0</v>
      </c>
      <c r="H15" s="7" t="str">
        <f t="shared" si="4"/>
        <v/>
      </c>
      <c r="I15" s="9">
        <f t="shared" si="5"/>
        <v>0</v>
      </c>
      <c r="J15" s="9">
        <f t="shared" si="6"/>
        <v>0</v>
      </c>
      <c r="K15" s="9">
        <f t="shared" si="7"/>
        <v>0</v>
      </c>
      <c r="L15" s="40">
        <f t="shared" si="8"/>
        <v>0</v>
      </c>
      <c r="M15" s="9" t="str">
        <f t="shared" si="9"/>
        <v/>
      </c>
      <c r="N15" s="9" t="str">
        <f t="shared" si="10"/>
        <v/>
      </c>
      <c r="O15" s="40" t="e">
        <f t="shared" si="11"/>
        <v>#VALUE!</v>
      </c>
      <c r="P15" s="41">
        <f t="shared" si="12"/>
        <v>0</v>
      </c>
      <c r="Q15" s="33">
        <f t="shared" si="13"/>
        <v>0</v>
      </c>
      <c r="R15" s="23" t="e">
        <f t="shared" si="14"/>
        <v>#VALUE!</v>
      </c>
      <c r="S15" s="8" t="e">
        <f t="shared" si="15"/>
        <v>#VALUE!</v>
      </c>
    </row>
    <row r="16" spans="1:19" s="1" customFormat="1" ht="24" customHeight="1" x14ac:dyDescent="0.25">
      <c r="A16" s="4"/>
      <c r="B16" s="5"/>
      <c r="C16" s="5"/>
      <c r="D16" s="6">
        <f t="shared" si="0"/>
        <v>0</v>
      </c>
      <c r="E16" s="43">
        <f t="shared" si="1"/>
        <v>0</v>
      </c>
      <c r="F16" s="20">
        <f t="shared" si="2"/>
        <v>0</v>
      </c>
      <c r="G16" s="21">
        <f t="shared" si="3"/>
        <v>0</v>
      </c>
      <c r="H16" s="7" t="str">
        <f t="shared" si="4"/>
        <v/>
      </c>
      <c r="I16" s="9">
        <f t="shared" si="5"/>
        <v>0</v>
      </c>
      <c r="J16" s="9">
        <f t="shared" si="6"/>
        <v>0</v>
      </c>
      <c r="K16" s="9">
        <f t="shared" si="7"/>
        <v>0</v>
      </c>
      <c r="L16" s="40">
        <f t="shared" si="8"/>
        <v>0</v>
      </c>
      <c r="M16" s="9" t="str">
        <f t="shared" si="9"/>
        <v/>
      </c>
      <c r="N16" s="9" t="str">
        <f t="shared" si="10"/>
        <v/>
      </c>
      <c r="O16" s="40" t="e">
        <f t="shared" si="11"/>
        <v>#VALUE!</v>
      </c>
      <c r="P16" s="41">
        <f t="shared" si="12"/>
        <v>0</v>
      </c>
      <c r="Q16" s="33">
        <f t="shared" si="13"/>
        <v>0</v>
      </c>
      <c r="R16" s="23" t="e">
        <f t="shared" si="14"/>
        <v>#VALUE!</v>
      </c>
      <c r="S16" s="8" t="e">
        <f t="shared" si="15"/>
        <v>#VALUE!</v>
      </c>
    </row>
    <row r="17" spans="1:19" ht="24" customHeight="1" x14ac:dyDescent="0.25">
      <c r="A17" s="4"/>
      <c r="B17" s="5"/>
      <c r="C17" s="5"/>
      <c r="D17" s="6">
        <f t="shared" si="0"/>
        <v>0</v>
      </c>
      <c r="E17" s="43">
        <f t="shared" si="1"/>
        <v>0</v>
      </c>
      <c r="F17" s="20">
        <f t="shared" si="2"/>
        <v>0</v>
      </c>
      <c r="G17" s="21">
        <f t="shared" si="3"/>
        <v>0</v>
      </c>
      <c r="H17" s="7" t="str">
        <f t="shared" si="4"/>
        <v/>
      </c>
      <c r="I17" s="9">
        <f t="shared" si="5"/>
        <v>0</v>
      </c>
      <c r="J17" s="9">
        <f t="shared" si="6"/>
        <v>0</v>
      </c>
      <c r="K17" s="9">
        <f t="shared" si="7"/>
        <v>0</v>
      </c>
      <c r="L17" s="40">
        <f t="shared" si="8"/>
        <v>0</v>
      </c>
      <c r="M17" s="9" t="str">
        <f t="shared" si="9"/>
        <v/>
      </c>
      <c r="N17" s="9" t="str">
        <f t="shared" si="10"/>
        <v/>
      </c>
      <c r="O17" s="40" t="e">
        <f t="shared" si="11"/>
        <v>#VALUE!</v>
      </c>
      <c r="P17" s="41">
        <f t="shared" si="12"/>
        <v>0</v>
      </c>
      <c r="Q17" s="33">
        <f t="shared" si="13"/>
        <v>0</v>
      </c>
      <c r="R17" s="23" t="e">
        <f t="shared" si="14"/>
        <v>#VALUE!</v>
      </c>
      <c r="S17" s="8" t="e">
        <f t="shared" si="15"/>
        <v>#VALUE!</v>
      </c>
    </row>
    <row r="18" spans="1:19" ht="24" customHeight="1" x14ac:dyDescent="0.25">
      <c r="A18" s="4"/>
      <c r="B18" s="5"/>
      <c r="C18" s="5"/>
      <c r="D18" s="6">
        <f t="shared" si="0"/>
        <v>0</v>
      </c>
      <c r="E18" s="43">
        <f t="shared" si="1"/>
        <v>0</v>
      </c>
      <c r="F18" s="20">
        <f t="shared" si="2"/>
        <v>0</v>
      </c>
      <c r="G18" s="21">
        <f t="shared" si="3"/>
        <v>0</v>
      </c>
      <c r="H18" s="7" t="str">
        <f t="shared" si="4"/>
        <v/>
      </c>
      <c r="I18" s="9">
        <f t="shared" si="5"/>
        <v>0</v>
      </c>
      <c r="J18" s="9">
        <f t="shared" si="6"/>
        <v>0</v>
      </c>
      <c r="K18" s="9">
        <f t="shared" si="7"/>
        <v>0</v>
      </c>
      <c r="L18" s="40">
        <f t="shared" si="8"/>
        <v>0</v>
      </c>
      <c r="M18" s="9" t="str">
        <f t="shared" si="9"/>
        <v/>
      </c>
      <c r="N18" s="9" t="str">
        <f t="shared" si="10"/>
        <v/>
      </c>
      <c r="O18" s="40" t="e">
        <f t="shared" si="11"/>
        <v>#VALUE!</v>
      </c>
      <c r="P18" s="41">
        <f t="shared" si="12"/>
        <v>0</v>
      </c>
      <c r="Q18" s="33">
        <f t="shared" si="13"/>
        <v>0</v>
      </c>
      <c r="R18" s="23" t="e">
        <f t="shared" si="14"/>
        <v>#VALUE!</v>
      </c>
      <c r="S18" s="8" t="e">
        <f t="shared" si="15"/>
        <v>#VALUE!</v>
      </c>
    </row>
    <row r="19" spans="1:19" ht="24" customHeight="1" x14ac:dyDescent="0.25">
      <c r="A19" s="4"/>
      <c r="B19" s="5"/>
      <c r="C19" s="5"/>
      <c r="D19" s="6">
        <f t="shared" si="0"/>
        <v>0</v>
      </c>
      <c r="E19" s="43">
        <f t="shared" si="1"/>
        <v>0</v>
      </c>
      <c r="F19" s="20">
        <f t="shared" si="2"/>
        <v>0</v>
      </c>
      <c r="G19" s="21">
        <f t="shared" si="3"/>
        <v>0</v>
      </c>
      <c r="H19" s="7" t="str">
        <f t="shared" si="4"/>
        <v/>
      </c>
      <c r="I19" s="9">
        <f t="shared" si="5"/>
        <v>0</v>
      </c>
      <c r="J19" s="9">
        <f t="shared" si="6"/>
        <v>0</v>
      </c>
      <c r="K19" s="9">
        <f t="shared" si="7"/>
        <v>0</v>
      </c>
      <c r="L19" s="40">
        <f t="shared" si="8"/>
        <v>0</v>
      </c>
      <c r="M19" s="9" t="str">
        <f t="shared" si="9"/>
        <v/>
      </c>
      <c r="N19" s="9" t="str">
        <f t="shared" si="10"/>
        <v/>
      </c>
      <c r="O19" s="40" t="e">
        <f t="shared" si="11"/>
        <v>#VALUE!</v>
      </c>
      <c r="P19" s="41">
        <f t="shared" si="12"/>
        <v>0</v>
      </c>
      <c r="Q19" s="33">
        <f t="shared" si="13"/>
        <v>0</v>
      </c>
      <c r="R19" s="23" t="e">
        <f t="shared" si="14"/>
        <v>#VALUE!</v>
      </c>
      <c r="S19" s="8" t="e">
        <f t="shared" si="15"/>
        <v>#VALUE!</v>
      </c>
    </row>
    <row r="20" spans="1:19" ht="24" customHeight="1" x14ac:dyDescent="0.25">
      <c r="A20" s="4"/>
      <c r="B20" s="5"/>
      <c r="C20" s="5"/>
      <c r="D20" s="6">
        <f t="shared" si="0"/>
        <v>0</v>
      </c>
      <c r="E20" s="43">
        <f t="shared" si="1"/>
        <v>0</v>
      </c>
      <c r="F20" s="20">
        <f t="shared" si="2"/>
        <v>0</v>
      </c>
      <c r="G20" s="21">
        <f t="shared" si="3"/>
        <v>0</v>
      </c>
      <c r="H20" s="7" t="str">
        <f t="shared" si="4"/>
        <v/>
      </c>
      <c r="I20" s="9">
        <f t="shared" si="5"/>
        <v>0</v>
      </c>
      <c r="J20" s="9">
        <f t="shared" si="6"/>
        <v>0</v>
      </c>
      <c r="K20" s="9">
        <f t="shared" si="7"/>
        <v>0</v>
      </c>
      <c r="L20" s="40">
        <f t="shared" si="8"/>
        <v>0</v>
      </c>
      <c r="M20" s="9" t="str">
        <f t="shared" si="9"/>
        <v/>
      </c>
      <c r="N20" s="9" t="str">
        <f t="shared" si="10"/>
        <v/>
      </c>
      <c r="O20" s="40" t="e">
        <f t="shared" si="11"/>
        <v>#VALUE!</v>
      </c>
      <c r="P20" s="41">
        <f t="shared" si="12"/>
        <v>0</v>
      </c>
      <c r="Q20" s="33">
        <f t="shared" si="13"/>
        <v>0</v>
      </c>
      <c r="R20" s="23" t="e">
        <f t="shared" si="14"/>
        <v>#VALUE!</v>
      </c>
      <c r="S20" s="8" t="e">
        <f t="shared" si="15"/>
        <v>#VALUE!</v>
      </c>
    </row>
    <row r="21" spans="1:19" ht="24" customHeight="1" x14ac:dyDescent="0.25">
      <c r="A21" s="4"/>
      <c r="B21" s="5"/>
      <c r="C21" s="5"/>
      <c r="D21" s="6">
        <f t="shared" si="0"/>
        <v>0</v>
      </c>
      <c r="E21" s="43">
        <f t="shared" si="1"/>
        <v>0</v>
      </c>
      <c r="F21" s="20">
        <f t="shared" si="2"/>
        <v>0</v>
      </c>
      <c r="G21" s="21">
        <f t="shared" si="3"/>
        <v>0</v>
      </c>
      <c r="H21" s="7" t="str">
        <f t="shared" si="4"/>
        <v/>
      </c>
      <c r="I21" s="9">
        <f t="shared" si="5"/>
        <v>0</v>
      </c>
      <c r="J21" s="9">
        <f t="shared" si="6"/>
        <v>0</v>
      </c>
      <c r="K21" s="9">
        <f t="shared" si="7"/>
        <v>0</v>
      </c>
      <c r="L21" s="40">
        <f t="shared" si="8"/>
        <v>0</v>
      </c>
      <c r="M21" s="9" t="str">
        <f t="shared" si="9"/>
        <v/>
      </c>
      <c r="N21" s="9" t="str">
        <f t="shared" si="10"/>
        <v/>
      </c>
      <c r="O21" s="40" t="e">
        <f t="shared" si="11"/>
        <v>#VALUE!</v>
      </c>
      <c r="P21" s="41">
        <f t="shared" si="12"/>
        <v>0</v>
      </c>
      <c r="Q21" s="33">
        <f t="shared" si="13"/>
        <v>0</v>
      </c>
      <c r="R21" s="23" t="e">
        <f t="shared" si="14"/>
        <v>#VALUE!</v>
      </c>
      <c r="S21" s="8" t="e">
        <f t="shared" si="15"/>
        <v>#VALUE!</v>
      </c>
    </row>
    <row r="22" spans="1:19" ht="24" customHeight="1" x14ac:dyDescent="0.25">
      <c r="A22" s="4"/>
      <c r="B22" s="5"/>
      <c r="C22" s="5"/>
      <c r="D22" s="6">
        <f t="shared" si="0"/>
        <v>0</v>
      </c>
      <c r="E22" s="43">
        <f t="shared" si="1"/>
        <v>0</v>
      </c>
      <c r="F22" s="20">
        <f t="shared" si="2"/>
        <v>0</v>
      </c>
      <c r="G22" s="21">
        <f t="shared" si="3"/>
        <v>0</v>
      </c>
      <c r="H22" s="7" t="str">
        <f t="shared" si="4"/>
        <v/>
      </c>
      <c r="I22" s="9">
        <f t="shared" si="5"/>
        <v>0</v>
      </c>
      <c r="J22" s="9">
        <f t="shared" si="6"/>
        <v>0</v>
      </c>
      <c r="K22" s="9">
        <f t="shared" si="7"/>
        <v>0</v>
      </c>
      <c r="L22" s="40">
        <f t="shared" si="8"/>
        <v>0</v>
      </c>
      <c r="M22" s="9" t="str">
        <f t="shared" si="9"/>
        <v/>
      </c>
      <c r="N22" s="9" t="str">
        <f t="shared" si="10"/>
        <v/>
      </c>
      <c r="O22" s="40" t="e">
        <f t="shared" si="11"/>
        <v>#VALUE!</v>
      </c>
      <c r="P22" s="41">
        <f t="shared" si="12"/>
        <v>0</v>
      </c>
      <c r="Q22" s="33">
        <f t="shared" si="13"/>
        <v>0</v>
      </c>
      <c r="R22" s="23" t="e">
        <f t="shared" si="14"/>
        <v>#VALUE!</v>
      </c>
      <c r="S22" s="8" t="e">
        <f t="shared" si="15"/>
        <v>#VALUE!</v>
      </c>
    </row>
    <row r="23" spans="1:19" ht="24" customHeight="1" x14ac:dyDescent="0.25">
      <c r="A23" s="4"/>
      <c r="B23" s="5"/>
      <c r="C23" s="5"/>
      <c r="D23" s="6">
        <f t="shared" si="0"/>
        <v>0</v>
      </c>
      <c r="E23" s="43">
        <f t="shared" si="1"/>
        <v>0</v>
      </c>
      <c r="F23" s="20">
        <f t="shared" si="2"/>
        <v>0</v>
      </c>
      <c r="G23" s="21">
        <f t="shared" si="3"/>
        <v>0</v>
      </c>
      <c r="H23" s="7" t="str">
        <f t="shared" si="4"/>
        <v/>
      </c>
      <c r="I23" s="9">
        <f t="shared" si="5"/>
        <v>0</v>
      </c>
      <c r="J23" s="9">
        <f t="shared" si="6"/>
        <v>0</v>
      </c>
      <c r="K23" s="9">
        <f t="shared" si="7"/>
        <v>0</v>
      </c>
      <c r="L23" s="40">
        <f t="shared" si="8"/>
        <v>0</v>
      </c>
      <c r="M23" s="9" t="str">
        <f t="shared" si="9"/>
        <v/>
      </c>
      <c r="N23" s="9" t="str">
        <f t="shared" si="10"/>
        <v/>
      </c>
      <c r="O23" s="40" t="e">
        <f t="shared" si="11"/>
        <v>#VALUE!</v>
      </c>
      <c r="P23" s="41">
        <f t="shared" si="12"/>
        <v>0</v>
      </c>
      <c r="Q23" s="33">
        <f t="shared" si="13"/>
        <v>0</v>
      </c>
      <c r="R23" s="23" t="e">
        <f t="shared" si="14"/>
        <v>#VALUE!</v>
      </c>
      <c r="S23" s="8" t="e">
        <f t="shared" si="15"/>
        <v>#VALUE!</v>
      </c>
    </row>
    <row r="24" spans="1:19" ht="24" customHeight="1" x14ac:dyDescent="0.25">
      <c r="A24" s="4"/>
      <c r="B24" s="5"/>
      <c r="C24" s="5"/>
      <c r="D24" s="6">
        <f t="shared" si="0"/>
        <v>0</v>
      </c>
      <c r="E24" s="43">
        <f t="shared" si="1"/>
        <v>0</v>
      </c>
      <c r="F24" s="20">
        <f t="shared" si="2"/>
        <v>0</v>
      </c>
      <c r="G24" s="21">
        <f t="shared" si="3"/>
        <v>0</v>
      </c>
      <c r="H24" s="7" t="str">
        <f t="shared" si="4"/>
        <v/>
      </c>
      <c r="I24" s="9">
        <f t="shared" si="5"/>
        <v>0</v>
      </c>
      <c r="J24" s="9">
        <f t="shared" si="6"/>
        <v>0</v>
      </c>
      <c r="K24" s="9">
        <f t="shared" si="7"/>
        <v>0</v>
      </c>
      <c r="L24" s="40">
        <f t="shared" si="8"/>
        <v>0</v>
      </c>
      <c r="M24" s="9" t="str">
        <f t="shared" si="9"/>
        <v/>
      </c>
      <c r="N24" s="9" t="str">
        <f t="shared" si="10"/>
        <v/>
      </c>
      <c r="O24" s="40" t="e">
        <f t="shared" si="11"/>
        <v>#VALUE!</v>
      </c>
      <c r="P24" s="41">
        <f t="shared" si="12"/>
        <v>0</v>
      </c>
      <c r="Q24" s="33">
        <f t="shared" si="13"/>
        <v>0</v>
      </c>
      <c r="R24" s="23" t="e">
        <f t="shared" si="14"/>
        <v>#VALUE!</v>
      </c>
      <c r="S24" s="8" t="e">
        <f t="shared" si="15"/>
        <v>#VALUE!</v>
      </c>
    </row>
    <row r="25" spans="1:19" ht="24" customHeight="1" x14ac:dyDescent="0.25">
      <c r="A25" s="4"/>
      <c r="B25" s="5"/>
      <c r="C25" s="5"/>
      <c r="D25" s="6">
        <f t="shared" si="0"/>
        <v>0</v>
      </c>
      <c r="E25" s="43">
        <f t="shared" si="1"/>
        <v>0</v>
      </c>
      <c r="F25" s="20">
        <f t="shared" si="2"/>
        <v>0</v>
      </c>
      <c r="G25" s="21">
        <f t="shared" si="3"/>
        <v>0</v>
      </c>
      <c r="H25" s="7" t="str">
        <f t="shared" si="4"/>
        <v/>
      </c>
      <c r="I25" s="9">
        <f t="shared" si="5"/>
        <v>0</v>
      </c>
      <c r="J25" s="9">
        <f t="shared" si="6"/>
        <v>0</v>
      </c>
      <c r="K25" s="9">
        <f t="shared" si="7"/>
        <v>0</v>
      </c>
      <c r="L25" s="40">
        <f t="shared" si="8"/>
        <v>0</v>
      </c>
      <c r="M25" s="9" t="str">
        <f t="shared" si="9"/>
        <v/>
      </c>
      <c r="N25" s="9" t="str">
        <f t="shared" si="10"/>
        <v/>
      </c>
      <c r="O25" s="40" t="e">
        <f t="shared" si="11"/>
        <v>#VALUE!</v>
      </c>
      <c r="P25" s="41">
        <f t="shared" si="12"/>
        <v>0</v>
      </c>
      <c r="Q25" s="33">
        <f t="shared" si="13"/>
        <v>0</v>
      </c>
      <c r="R25" s="23" t="e">
        <f t="shared" si="14"/>
        <v>#VALUE!</v>
      </c>
      <c r="S25" s="8" t="e">
        <f t="shared" si="15"/>
        <v>#VALUE!</v>
      </c>
    </row>
    <row r="26" spans="1:19" ht="24" customHeight="1" x14ac:dyDescent="0.25">
      <c r="A26" s="4"/>
      <c r="B26" s="5"/>
      <c r="C26" s="5"/>
      <c r="D26" s="6">
        <f t="shared" si="0"/>
        <v>0</v>
      </c>
      <c r="E26" s="43">
        <f t="shared" si="1"/>
        <v>0</v>
      </c>
      <c r="F26" s="20">
        <f t="shared" si="2"/>
        <v>0</v>
      </c>
      <c r="G26" s="21">
        <f t="shared" si="3"/>
        <v>0</v>
      </c>
      <c r="H26" s="7" t="str">
        <f t="shared" si="4"/>
        <v/>
      </c>
      <c r="I26" s="9">
        <f t="shared" si="5"/>
        <v>0</v>
      </c>
      <c r="J26" s="9">
        <f t="shared" si="6"/>
        <v>0</v>
      </c>
      <c r="K26" s="9">
        <f t="shared" si="7"/>
        <v>0</v>
      </c>
      <c r="L26" s="40">
        <f t="shared" si="8"/>
        <v>0</v>
      </c>
      <c r="M26" s="9" t="str">
        <f t="shared" si="9"/>
        <v/>
      </c>
      <c r="N26" s="9" t="str">
        <f t="shared" si="10"/>
        <v/>
      </c>
      <c r="O26" s="40" t="e">
        <f t="shared" si="11"/>
        <v>#VALUE!</v>
      </c>
      <c r="P26" s="41">
        <f t="shared" si="12"/>
        <v>0</v>
      </c>
      <c r="Q26" s="33">
        <f t="shared" si="13"/>
        <v>0</v>
      </c>
      <c r="R26" s="23" t="e">
        <f t="shared" si="14"/>
        <v>#VALUE!</v>
      </c>
      <c r="S26" s="8" t="e">
        <f t="shared" si="15"/>
        <v>#VALUE!</v>
      </c>
    </row>
    <row r="27" spans="1:19" ht="24" customHeight="1" x14ac:dyDescent="0.25">
      <c r="A27" s="4"/>
      <c r="B27" s="5"/>
      <c r="C27" s="5"/>
      <c r="D27" s="6">
        <f t="shared" si="0"/>
        <v>0</v>
      </c>
      <c r="E27" s="43">
        <f t="shared" si="1"/>
        <v>0</v>
      </c>
      <c r="F27" s="20">
        <f t="shared" si="2"/>
        <v>0</v>
      </c>
      <c r="G27" s="21">
        <f t="shared" si="3"/>
        <v>0</v>
      </c>
      <c r="H27" s="7" t="str">
        <f t="shared" si="4"/>
        <v/>
      </c>
      <c r="I27" s="9">
        <f t="shared" si="5"/>
        <v>0</v>
      </c>
      <c r="J27" s="9">
        <f t="shared" si="6"/>
        <v>0</v>
      </c>
      <c r="K27" s="9">
        <f t="shared" si="7"/>
        <v>0</v>
      </c>
      <c r="L27" s="40">
        <f t="shared" si="8"/>
        <v>0</v>
      </c>
      <c r="M27" s="9" t="str">
        <f t="shared" si="9"/>
        <v/>
      </c>
      <c r="N27" s="9" t="str">
        <f t="shared" si="10"/>
        <v/>
      </c>
      <c r="O27" s="40" t="e">
        <f t="shared" si="11"/>
        <v>#VALUE!</v>
      </c>
      <c r="P27" s="41">
        <f t="shared" si="12"/>
        <v>0</v>
      </c>
      <c r="Q27" s="33">
        <f t="shared" si="13"/>
        <v>0</v>
      </c>
      <c r="R27" s="23" t="e">
        <f t="shared" si="14"/>
        <v>#VALUE!</v>
      </c>
      <c r="S27" s="8" t="e">
        <f t="shared" si="15"/>
        <v>#VALUE!</v>
      </c>
    </row>
    <row r="28" spans="1:19" ht="24" customHeight="1" x14ac:dyDescent="0.25">
      <c r="A28" s="4"/>
      <c r="B28" s="5"/>
      <c r="C28" s="5"/>
      <c r="D28" s="6">
        <f t="shared" si="0"/>
        <v>0</v>
      </c>
      <c r="E28" s="43">
        <f t="shared" si="1"/>
        <v>0</v>
      </c>
      <c r="F28" s="20">
        <f t="shared" si="2"/>
        <v>0</v>
      </c>
      <c r="G28" s="21">
        <f t="shared" si="3"/>
        <v>0</v>
      </c>
      <c r="H28" s="7" t="str">
        <f t="shared" si="4"/>
        <v/>
      </c>
      <c r="I28" s="9">
        <f t="shared" si="5"/>
        <v>0</v>
      </c>
      <c r="J28" s="9">
        <f t="shared" si="6"/>
        <v>0</v>
      </c>
      <c r="K28" s="9">
        <f t="shared" si="7"/>
        <v>0</v>
      </c>
      <c r="L28" s="40">
        <f t="shared" si="8"/>
        <v>0</v>
      </c>
      <c r="M28" s="9" t="str">
        <f t="shared" si="9"/>
        <v/>
      </c>
      <c r="N28" s="9" t="str">
        <f t="shared" si="10"/>
        <v/>
      </c>
      <c r="O28" s="40" t="e">
        <f t="shared" si="11"/>
        <v>#VALUE!</v>
      </c>
      <c r="P28" s="41">
        <f t="shared" si="12"/>
        <v>0</v>
      </c>
      <c r="Q28" s="33">
        <f t="shared" si="13"/>
        <v>0</v>
      </c>
      <c r="R28" s="23" t="e">
        <f t="shared" si="14"/>
        <v>#VALUE!</v>
      </c>
      <c r="S28" s="8" t="e">
        <f t="shared" si="15"/>
        <v>#VALUE!</v>
      </c>
    </row>
    <row r="29" spans="1:19" ht="24" customHeight="1" x14ac:dyDescent="0.25">
      <c r="A29" s="4"/>
      <c r="B29" s="5"/>
      <c r="C29" s="5"/>
      <c r="D29" s="6">
        <f t="shared" si="0"/>
        <v>0</v>
      </c>
      <c r="E29" s="43">
        <f t="shared" si="1"/>
        <v>0</v>
      </c>
      <c r="F29" s="20">
        <f t="shared" si="2"/>
        <v>0</v>
      </c>
      <c r="G29" s="21">
        <f t="shared" si="3"/>
        <v>0</v>
      </c>
      <c r="H29" s="7" t="str">
        <f t="shared" si="4"/>
        <v/>
      </c>
      <c r="I29" s="9">
        <f t="shared" si="5"/>
        <v>0</v>
      </c>
      <c r="J29" s="9">
        <f t="shared" si="6"/>
        <v>0</v>
      </c>
      <c r="K29" s="9">
        <f t="shared" si="7"/>
        <v>0</v>
      </c>
      <c r="L29" s="40">
        <f t="shared" si="8"/>
        <v>0</v>
      </c>
      <c r="M29" s="9" t="str">
        <f t="shared" si="9"/>
        <v/>
      </c>
      <c r="N29" s="9" t="str">
        <f t="shared" si="10"/>
        <v/>
      </c>
      <c r="O29" s="40" t="e">
        <f t="shared" si="11"/>
        <v>#VALUE!</v>
      </c>
      <c r="P29" s="41">
        <f t="shared" si="12"/>
        <v>0</v>
      </c>
      <c r="Q29" s="33">
        <f t="shared" si="13"/>
        <v>0</v>
      </c>
      <c r="R29" s="23" t="e">
        <f t="shared" si="14"/>
        <v>#VALUE!</v>
      </c>
      <c r="S29" s="8" t="e">
        <f t="shared" si="15"/>
        <v>#VALUE!</v>
      </c>
    </row>
    <row r="30" spans="1:19" ht="24" customHeight="1" x14ac:dyDescent="0.25">
      <c r="A30" s="4"/>
      <c r="B30" s="5"/>
      <c r="C30" s="5"/>
      <c r="D30" s="6">
        <f t="shared" si="0"/>
        <v>0</v>
      </c>
      <c r="E30" s="43"/>
      <c r="F30" s="20">
        <f t="shared" si="2"/>
        <v>0</v>
      </c>
      <c r="G30" s="21">
        <f t="shared" si="3"/>
        <v>0</v>
      </c>
      <c r="H30" s="7" t="str">
        <f t="shared" si="4"/>
        <v/>
      </c>
      <c r="I30" s="9">
        <f t="shared" si="5"/>
        <v>0</v>
      </c>
      <c r="J30" s="9">
        <f t="shared" si="6"/>
        <v>0</v>
      </c>
      <c r="K30" s="9">
        <f t="shared" si="7"/>
        <v>0</v>
      </c>
      <c r="L30" s="40">
        <f t="shared" si="8"/>
        <v>0</v>
      </c>
      <c r="M30" s="9" t="str">
        <f t="shared" si="9"/>
        <v/>
      </c>
      <c r="N30" s="9" t="str">
        <f t="shared" si="10"/>
        <v/>
      </c>
      <c r="O30" s="40" t="e">
        <f t="shared" si="11"/>
        <v>#VALUE!</v>
      </c>
      <c r="P30" s="41">
        <f t="shared" si="12"/>
        <v>0</v>
      </c>
      <c r="Q30" s="33">
        <f t="shared" si="13"/>
        <v>0</v>
      </c>
      <c r="R30" s="23" t="e">
        <f t="shared" si="14"/>
        <v>#VALUE!</v>
      </c>
      <c r="S30" s="8" t="e">
        <f t="shared" si="15"/>
        <v>#VALUE!</v>
      </c>
    </row>
    <row r="31" spans="1:19" ht="24" customHeight="1" x14ac:dyDescent="0.25">
      <c r="A31" s="4"/>
      <c r="B31" s="5"/>
      <c r="C31" s="5"/>
      <c r="D31" s="6">
        <f t="shared" si="0"/>
        <v>0</v>
      </c>
      <c r="E31" s="43">
        <f t="shared" si="1"/>
        <v>0</v>
      </c>
      <c r="F31" s="20">
        <f t="shared" si="2"/>
        <v>0</v>
      </c>
      <c r="G31" s="21">
        <f t="shared" si="3"/>
        <v>0</v>
      </c>
      <c r="H31" s="7" t="str">
        <f t="shared" si="4"/>
        <v/>
      </c>
      <c r="I31" s="9">
        <f t="shared" si="5"/>
        <v>0</v>
      </c>
      <c r="J31" s="9">
        <f t="shared" si="6"/>
        <v>0</v>
      </c>
      <c r="K31" s="9">
        <f t="shared" si="7"/>
        <v>0</v>
      </c>
      <c r="L31" s="40">
        <f t="shared" si="8"/>
        <v>0</v>
      </c>
      <c r="M31" s="9" t="str">
        <f t="shared" si="9"/>
        <v/>
      </c>
      <c r="N31" s="9" t="str">
        <f t="shared" si="10"/>
        <v/>
      </c>
      <c r="O31" s="40" t="e">
        <f t="shared" si="11"/>
        <v>#VALUE!</v>
      </c>
      <c r="P31" s="41">
        <f t="shared" si="12"/>
        <v>0</v>
      </c>
      <c r="Q31" s="33">
        <f t="shared" si="13"/>
        <v>0</v>
      </c>
      <c r="R31" s="23" t="e">
        <f t="shared" si="14"/>
        <v>#VALUE!</v>
      </c>
      <c r="S31" s="8" t="e">
        <f t="shared" si="15"/>
        <v>#VALUE!</v>
      </c>
    </row>
    <row r="32" spans="1:19" ht="24" customHeight="1" x14ac:dyDescent="0.25">
      <c r="A32" s="4"/>
      <c r="B32" s="5"/>
      <c r="C32" s="5"/>
      <c r="D32" s="6">
        <f t="shared" si="0"/>
        <v>0</v>
      </c>
      <c r="E32" s="43">
        <f t="shared" si="1"/>
        <v>0</v>
      </c>
      <c r="F32" s="20">
        <f t="shared" si="2"/>
        <v>0</v>
      </c>
      <c r="G32" s="21">
        <f t="shared" si="3"/>
        <v>0</v>
      </c>
      <c r="H32" s="7" t="str">
        <f t="shared" si="4"/>
        <v/>
      </c>
      <c r="I32" s="9">
        <f t="shared" si="5"/>
        <v>0</v>
      </c>
      <c r="J32" s="9">
        <f t="shared" si="6"/>
        <v>0</v>
      </c>
      <c r="K32" s="9">
        <f t="shared" si="7"/>
        <v>0</v>
      </c>
      <c r="L32" s="40">
        <f t="shared" si="8"/>
        <v>0</v>
      </c>
      <c r="M32" s="9" t="str">
        <f t="shared" si="9"/>
        <v/>
      </c>
      <c r="N32" s="9" t="str">
        <f t="shared" si="10"/>
        <v/>
      </c>
      <c r="O32" s="40" t="e">
        <f t="shared" si="11"/>
        <v>#VALUE!</v>
      </c>
      <c r="P32" s="41">
        <f t="shared" si="12"/>
        <v>0</v>
      </c>
      <c r="Q32" s="33">
        <f t="shared" si="13"/>
        <v>0</v>
      </c>
      <c r="R32" s="23" t="e">
        <f t="shared" si="14"/>
        <v>#VALUE!</v>
      </c>
      <c r="S32" s="8" t="e">
        <f t="shared" si="15"/>
        <v>#VALUE!</v>
      </c>
    </row>
    <row r="33" spans="1:19" ht="24" customHeight="1" x14ac:dyDescent="0.25">
      <c r="A33" s="4"/>
      <c r="B33" s="5"/>
      <c r="C33" s="5"/>
      <c r="D33" s="6">
        <f t="shared" si="0"/>
        <v>0</v>
      </c>
      <c r="E33" s="43">
        <f t="shared" si="1"/>
        <v>0</v>
      </c>
      <c r="F33" s="20">
        <f t="shared" si="2"/>
        <v>0</v>
      </c>
      <c r="G33" s="21">
        <f t="shared" si="3"/>
        <v>0</v>
      </c>
      <c r="H33" s="7" t="str">
        <f t="shared" si="4"/>
        <v/>
      </c>
      <c r="I33" s="9">
        <f t="shared" si="5"/>
        <v>0</v>
      </c>
      <c r="J33" s="9">
        <f t="shared" si="6"/>
        <v>0</v>
      </c>
      <c r="K33" s="9">
        <f t="shared" si="7"/>
        <v>0</v>
      </c>
      <c r="L33" s="40">
        <f t="shared" si="8"/>
        <v>0</v>
      </c>
      <c r="M33" s="9" t="str">
        <f t="shared" si="9"/>
        <v/>
      </c>
      <c r="N33" s="9" t="str">
        <f t="shared" si="10"/>
        <v/>
      </c>
      <c r="O33" s="40" t="e">
        <f t="shared" si="11"/>
        <v>#VALUE!</v>
      </c>
      <c r="P33" s="41">
        <f t="shared" si="12"/>
        <v>0</v>
      </c>
      <c r="Q33" s="33">
        <f t="shared" si="13"/>
        <v>0</v>
      </c>
      <c r="R33" s="23" t="e">
        <f t="shared" si="14"/>
        <v>#VALUE!</v>
      </c>
      <c r="S33" s="8" t="e">
        <f t="shared" si="15"/>
        <v>#VALUE!</v>
      </c>
    </row>
    <row r="34" spans="1:19" ht="24" customHeight="1" x14ac:dyDescent="0.25">
      <c r="A34" s="4"/>
      <c r="B34" s="5"/>
      <c r="C34" s="5"/>
      <c r="D34" s="6">
        <f t="shared" si="0"/>
        <v>0</v>
      </c>
      <c r="E34" s="43">
        <f t="shared" si="1"/>
        <v>0</v>
      </c>
      <c r="F34" s="20">
        <f t="shared" si="2"/>
        <v>0</v>
      </c>
      <c r="G34" s="21">
        <f t="shared" si="3"/>
        <v>0</v>
      </c>
      <c r="H34" s="7" t="str">
        <f t="shared" si="4"/>
        <v/>
      </c>
      <c r="I34" s="9">
        <f t="shared" si="5"/>
        <v>0</v>
      </c>
      <c r="J34" s="9">
        <f t="shared" si="6"/>
        <v>0</v>
      </c>
      <c r="K34" s="9">
        <f t="shared" si="7"/>
        <v>0</v>
      </c>
      <c r="L34" s="40">
        <f t="shared" si="8"/>
        <v>0</v>
      </c>
      <c r="M34" s="9" t="str">
        <f t="shared" si="9"/>
        <v/>
      </c>
      <c r="N34" s="9" t="str">
        <f t="shared" si="10"/>
        <v/>
      </c>
      <c r="O34" s="40" t="e">
        <f t="shared" si="11"/>
        <v>#VALUE!</v>
      </c>
      <c r="P34" s="41">
        <f t="shared" si="12"/>
        <v>0</v>
      </c>
      <c r="Q34" s="33">
        <f t="shared" si="13"/>
        <v>0</v>
      </c>
      <c r="R34" s="23" t="e">
        <f t="shared" si="14"/>
        <v>#VALUE!</v>
      </c>
      <c r="S34" s="8" t="e">
        <f t="shared" si="15"/>
        <v>#VALUE!</v>
      </c>
    </row>
    <row r="35" spans="1:19" ht="24" customHeight="1" x14ac:dyDescent="0.25">
      <c r="A35" s="4"/>
      <c r="B35" s="5"/>
      <c r="C35" s="5"/>
      <c r="D35" s="6">
        <f t="shared" si="0"/>
        <v>0</v>
      </c>
      <c r="E35" s="43">
        <f t="shared" si="1"/>
        <v>0</v>
      </c>
      <c r="F35" s="20">
        <f t="shared" si="2"/>
        <v>0</v>
      </c>
      <c r="G35" s="21">
        <f t="shared" si="3"/>
        <v>0</v>
      </c>
      <c r="H35" s="7" t="str">
        <f t="shared" si="4"/>
        <v/>
      </c>
      <c r="I35" s="9">
        <f t="shared" si="5"/>
        <v>0</v>
      </c>
      <c r="J35" s="9">
        <f t="shared" si="6"/>
        <v>0</v>
      </c>
      <c r="K35" s="9">
        <f t="shared" si="7"/>
        <v>0</v>
      </c>
      <c r="L35" s="40">
        <f t="shared" si="8"/>
        <v>0</v>
      </c>
      <c r="M35" s="9" t="str">
        <f t="shared" si="9"/>
        <v/>
      </c>
      <c r="N35" s="9" t="str">
        <f t="shared" si="10"/>
        <v/>
      </c>
      <c r="O35" s="40" t="e">
        <f t="shared" si="11"/>
        <v>#VALUE!</v>
      </c>
      <c r="P35" s="41">
        <f t="shared" si="12"/>
        <v>0</v>
      </c>
      <c r="Q35" s="33">
        <f t="shared" si="13"/>
        <v>0</v>
      </c>
      <c r="R35" s="23" t="e">
        <f t="shared" si="14"/>
        <v>#VALUE!</v>
      </c>
      <c r="S35" s="8" t="e">
        <f t="shared" si="15"/>
        <v>#VALUE!</v>
      </c>
    </row>
    <row r="36" spans="1:19" ht="24" customHeight="1" x14ac:dyDescent="0.25">
      <c r="A36" s="4"/>
      <c r="B36" s="5"/>
      <c r="C36" s="5"/>
      <c r="D36" s="6">
        <f t="shared" si="0"/>
        <v>0</v>
      </c>
      <c r="E36" s="43">
        <f t="shared" si="1"/>
        <v>0</v>
      </c>
      <c r="F36" s="20">
        <f t="shared" si="2"/>
        <v>0</v>
      </c>
      <c r="G36" s="21">
        <f t="shared" si="3"/>
        <v>0</v>
      </c>
      <c r="H36" s="7" t="str">
        <f t="shared" si="4"/>
        <v/>
      </c>
      <c r="I36" s="9">
        <f t="shared" si="5"/>
        <v>0</v>
      </c>
      <c r="J36" s="9">
        <f t="shared" si="6"/>
        <v>0</v>
      </c>
      <c r="K36" s="9">
        <f t="shared" si="7"/>
        <v>0</v>
      </c>
      <c r="L36" s="40">
        <f t="shared" si="8"/>
        <v>0</v>
      </c>
      <c r="M36" s="9" t="str">
        <f t="shared" si="9"/>
        <v/>
      </c>
      <c r="N36" s="9" t="str">
        <f t="shared" si="10"/>
        <v/>
      </c>
      <c r="O36" s="40" t="e">
        <f t="shared" si="11"/>
        <v>#VALUE!</v>
      </c>
      <c r="P36" s="41">
        <f t="shared" si="12"/>
        <v>0</v>
      </c>
      <c r="Q36" s="33">
        <f t="shared" si="13"/>
        <v>0</v>
      </c>
      <c r="R36" s="23" t="e">
        <f t="shared" si="14"/>
        <v>#VALUE!</v>
      </c>
      <c r="S36" s="8" t="e">
        <f t="shared" si="15"/>
        <v>#VALUE!</v>
      </c>
    </row>
    <row r="37" spans="1:19" ht="24" customHeight="1" x14ac:dyDescent="0.25">
      <c r="A37" s="4"/>
      <c r="B37" s="5"/>
      <c r="C37" s="5"/>
      <c r="D37" s="6">
        <f t="shared" si="0"/>
        <v>0</v>
      </c>
      <c r="E37" s="43">
        <f t="shared" si="1"/>
        <v>0</v>
      </c>
      <c r="F37" s="20">
        <f t="shared" si="2"/>
        <v>0</v>
      </c>
      <c r="G37" s="21">
        <f t="shared" si="3"/>
        <v>0</v>
      </c>
      <c r="H37" s="7" t="str">
        <f t="shared" si="4"/>
        <v/>
      </c>
      <c r="I37" s="9">
        <f t="shared" si="5"/>
        <v>0</v>
      </c>
      <c r="J37" s="9">
        <f t="shared" si="6"/>
        <v>0</v>
      </c>
      <c r="K37" s="9">
        <f t="shared" si="7"/>
        <v>0</v>
      </c>
      <c r="L37" s="40">
        <f t="shared" si="8"/>
        <v>0</v>
      </c>
      <c r="M37" s="9" t="str">
        <f t="shared" si="9"/>
        <v/>
      </c>
      <c r="N37" s="9" t="str">
        <f t="shared" si="10"/>
        <v/>
      </c>
      <c r="O37" s="40" t="e">
        <f t="shared" si="11"/>
        <v>#VALUE!</v>
      </c>
      <c r="P37" s="41">
        <f t="shared" si="12"/>
        <v>0</v>
      </c>
      <c r="Q37" s="33">
        <f t="shared" si="13"/>
        <v>0</v>
      </c>
      <c r="R37" s="23" t="e">
        <f t="shared" si="14"/>
        <v>#VALUE!</v>
      </c>
      <c r="S37" s="8" t="e">
        <f t="shared" si="15"/>
        <v>#VALUE!</v>
      </c>
    </row>
    <row r="38" spans="1:19" ht="24" customHeight="1" x14ac:dyDescent="0.25">
      <c r="A38" s="4"/>
      <c r="B38" s="5"/>
      <c r="C38" s="5"/>
      <c r="D38" s="6">
        <f t="shared" si="0"/>
        <v>0</v>
      </c>
      <c r="E38" s="43">
        <f t="shared" ref="E38:E53" si="16">(A38+B38)*2*C38/9.29*1.2/21</f>
        <v>0</v>
      </c>
      <c r="F38" s="20">
        <f t="shared" ref="F38:F53" si="17">(A38+B38)*2*C38/9.29*1.2/10.76</f>
        <v>0</v>
      </c>
      <c r="G38" s="21">
        <f t="shared" ref="G38:G53" si="18">(A38+B38)*2*C38/9.29*1.2</f>
        <v>0</v>
      </c>
      <c r="H38" s="7" t="str">
        <f t="shared" ref="H38:H53" si="19">IF(A38=0,"",IF(A38&lt;31,"26#",IF(A38&lt;76,"24#",IF(A38&lt;151,"22#",IF(A38&lt;225,"20#",IF(A38&lt;300,"18#"))))))</f>
        <v/>
      </c>
      <c r="I38" s="9">
        <f t="shared" ref="I38:I53" si="20">((A38+B38)*2*7.85*C38)/100</f>
        <v>0</v>
      </c>
      <c r="J38" s="9">
        <f t="shared" ref="J38:J53" si="21">(C38/1.2)*8</f>
        <v>0</v>
      </c>
      <c r="K38" s="9">
        <f t="shared" ref="K38:K53" si="22">(((A38+B38)*2)/15)*D38</f>
        <v>0</v>
      </c>
      <c r="L38" s="40">
        <f t="shared" ref="L38:L53" si="23">(((A38+B38)*2)*D38)/100</f>
        <v>0</v>
      </c>
      <c r="M38" s="9" t="str">
        <f t="shared" ref="M38:M53" si="24">IF(A38=0,"",IF(A38&lt;75,"0",IF(A38&lt;150,"1",IF(A38&lt;300,"2",IF(A38&lt;450,"3")))))</f>
        <v/>
      </c>
      <c r="N38" s="9" t="str">
        <f t="shared" ref="N38:N53" si="25">IF(B38=0,"",IF(B38&lt;75,"0",IF(B38&lt;150,"1",IF(B38&lt;300,"2"))))</f>
        <v/>
      </c>
      <c r="O38" s="40" t="e">
        <f t="shared" ref="O38:O53" si="26">(((B38/100)*M38)+((A38/100)*N38))*D38</f>
        <v>#VALUE!</v>
      </c>
      <c r="P38" s="41">
        <f t="shared" ref="P38:P53" si="27">(C38/2.2)*((A38+10)/100)</f>
        <v>0</v>
      </c>
      <c r="Q38" s="33">
        <f t="shared" ref="Q38:Q53" si="28">C38/2.2</f>
        <v>0</v>
      </c>
      <c r="R38" s="23" t="e">
        <f t="shared" ref="R38:R53" si="29">(M38*N38)*D38</f>
        <v>#VALUE!</v>
      </c>
      <c r="S38" s="8" t="e">
        <f t="shared" ref="S38:S53" si="30">((M38+N38)*4)*D38</f>
        <v>#VALUE!</v>
      </c>
    </row>
    <row r="39" spans="1:19" ht="24" customHeight="1" x14ac:dyDescent="0.25">
      <c r="A39" s="4"/>
      <c r="B39" s="5"/>
      <c r="C39" s="5"/>
      <c r="D39" s="6">
        <f t="shared" si="0"/>
        <v>0</v>
      </c>
      <c r="E39" s="43">
        <f t="shared" si="16"/>
        <v>0</v>
      </c>
      <c r="F39" s="20">
        <f t="shared" si="17"/>
        <v>0</v>
      </c>
      <c r="G39" s="21">
        <f t="shared" si="18"/>
        <v>0</v>
      </c>
      <c r="H39" s="7" t="str">
        <f t="shared" si="19"/>
        <v/>
      </c>
      <c r="I39" s="9">
        <f t="shared" si="20"/>
        <v>0</v>
      </c>
      <c r="J39" s="9">
        <f t="shared" si="21"/>
        <v>0</v>
      </c>
      <c r="K39" s="9">
        <f t="shared" si="22"/>
        <v>0</v>
      </c>
      <c r="L39" s="40">
        <f t="shared" si="23"/>
        <v>0</v>
      </c>
      <c r="M39" s="9" t="str">
        <f t="shared" si="24"/>
        <v/>
      </c>
      <c r="N39" s="9" t="str">
        <f t="shared" si="25"/>
        <v/>
      </c>
      <c r="O39" s="40" t="e">
        <f t="shared" si="26"/>
        <v>#VALUE!</v>
      </c>
      <c r="P39" s="41">
        <f t="shared" si="27"/>
        <v>0</v>
      </c>
      <c r="Q39" s="33">
        <f t="shared" si="28"/>
        <v>0</v>
      </c>
      <c r="R39" s="23" t="e">
        <f t="shared" si="29"/>
        <v>#VALUE!</v>
      </c>
      <c r="S39" s="8" t="e">
        <f t="shared" si="30"/>
        <v>#VALUE!</v>
      </c>
    </row>
    <row r="40" spans="1:19" ht="24" customHeight="1" x14ac:dyDescent="0.25">
      <c r="A40" s="4"/>
      <c r="B40" s="5"/>
      <c r="C40" s="5"/>
      <c r="D40" s="6">
        <f t="shared" si="0"/>
        <v>0</v>
      </c>
      <c r="E40" s="43">
        <f t="shared" si="16"/>
        <v>0</v>
      </c>
      <c r="F40" s="20">
        <f t="shared" si="17"/>
        <v>0</v>
      </c>
      <c r="G40" s="21">
        <f t="shared" si="18"/>
        <v>0</v>
      </c>
      <c r="H40" s="7" t="str">
        <f t="shared" si="19"/>
        <v/>
      </c>
      <c r="I40" s="9">
        <f t="shared" si="20"/>
        <v>0</v>
      </c>
      <c r="J40" s="9">
        <f t="shared" si="21"/>
        <v>0</v>
      </c>
      <c r="K40" s="9">
        <f t="shared" si="22"/>
        <v>0</v>
      </c>
      <c r="L40" s="40">
        <f t="shared" si="23"/>
        <v>0</v>
      </c>
      <c r="M40" s="9" t="str">
        <f t="shared" si="24"/>
        <v/>
      </c>
      <c r="N40" s="9" t="str">
        <f t="shared" si="25"/>
        <v/>
      </c>
      <c r="O40" s="40" t="e">
        <f t="shared" si="26"/>
        <v>#VALUE!</v>
      </c>
      <c r="P40" s="41">
        <f t="shared" si="27"/>
        <v>0</v>
      </c>
      <c r="Q40" s="33">
        <f t="shared" si="28"/>
        <v>0</v>
      </c>
      <c r="R40" s="23" t="e">
        <f t="shared" si="29"/>
        <v>#VALUE!</v>
      </c>
      <c r="S40" s="8" t="e">
        <f t="shared" si="30"/>
        <v>#VALUE!</v>
      </c>
    </row>
    <row r="41" spans="1:19" ht="24" customHeight="1" x14ac:dyDescent="0.25">
      <c r="A41" s="4"/>
      <c r="B41" s="5"/>
      <c r="C41" s="5"/>
      <c r="D41" s="6">
        <f t="shared" si="0"/>
        <v>0</v>
      </c>
      <c r="E41" s="43">
        <f t="shared" si="16"/>
        <v>0</v>
      </c>
      <c r="F41" s="20">
        <f t="shared" si="17"/>
        <v>0</v>
      </c>
      <c r="G41" s="21">
        <f t="shared" si="18"/>
        <v>0</v>
      </c>
      <c r="H41" s="7" t="str">
        <f t="shared" si="19"/>
        <v/>
      </c>
      <c r="I41" s="9">
        <f t="shared" si="20"/>
        <v>0</v>
      </c>
      <c r="J41" s="9">
        <f t="shared" si="21"/>
        <v>0</v>
      </c>
      <c r="K41" s="9">
        <f t="shared" si="22"/>
        <v>0</v>
      </c>
      <c r="L41" s="40">
        <f t="shared" si="23"/>
        <v>0</v>
      </c>
      <c r="M41" s="9" t="str">
        <f t="shared" si="24"/>
        <v/>
      </c>
      <c r="N41" s="9" t="str">
        <f t="shared" si="25"/>
        <v/>
      </c>
      <c r="O41" s="40" t="e">
        <f t="shared" si="26"/>
        <v>#VALUE!</v>
      </c>
      <c r="P41" s="41">
        <f t="shared" si="27"/>
        <v>0</v>
      </c>
      <c r="Q41" s="33">
        <f t="shared" si="28"/>
        <v>0</v>
      </c>
      <c r="R41" s="23" t="e">
        <f t="shared" si="29"/>
        <v>#VALUE!</v>
      </c>
      <c r="S41" s="8" t="e">
        <f t="shared" si="30"/>
        <v>#VALUE!</v>
      </c>
    </row>
    <row r="42" spans="1:19" ht="24" customHeight="1" x14ac:dyDescent="0.25">
      <c r="A42" s="4"/>
      <c r="B42" s="5"/>
      <c r="C42" s="5"/>
      <c r="D42" s="6">
        <f t="shared" si="0"/>
        <v>0</v>
      </c>
      <c r="E42" s="43">
        <f t="shared" si="16"/>
        <v>0</v>
      </c>
      <c r="F42" s="20">
        <f t="shared" si="17"/>
        <v>0</v>
      </c>
      <c r="G42" s="21">
        <f t="shared" si="18"/>
        <v>0</v>
      </c>
      <c r="H42" s="7" t="str">
        <f t="shared" si="19"/>
        <v/>
      </c>
      <c r="I42" s="9">
        <f t="shared" si="20"/>
        <v>0</v>
      </c>
      <c r="J42" s="9">
        <f t="shared" si="21"/>
        <v>0</v>
      </c>
      <c r="K42" s="9">
        <f t="shared" si="22"/>
        <v>0</v>
      </c>
      <c r="L42" s="40">
        <f t="shared" si="23"/>
        <v>0</v>
      </c>
      <c r="M42" s="9" t="str">
        <f t="shared" si="24"/>
        <v/>
      </c>
      <c r="N42" s="9" t="str">
        <f t="shared" si="25"/>
        <v/>
      </c>
      <c r="O42" s="40" t="e">
        <f t="shared" si="26"/>
        <v>#VALUE!</v>
      </c>
      <c r="P42" s="41">
        <f t="shared" si="27"/>
        <v>0</v>
      </c>
      <c r="Q42" s="33">
        <f t="shared" si="28"/>
        <v>0</v>
      </c>
      <c r="R42" s="23" t="e">
        <f t="shared" si="29"/>
        <v>#VALUE!</v>
      </c>
      <c r="S42" s="8" t="e">
        <f t="shared" si="30"/>
        <v>#VALUE!</v>
      </c>
    </row>
    <row r="43" spans="1:19" ht="24" customHeight="1" x14ac:dyDescent="0.25">
      <c r="A43" s="4"/>
      <c r="B43" s="5"/>
      <c r="C43" s="5"/>
      <c r="D43" s="6">
        <f t="shared" si="0"/>
        <v>0</v>
      </c>
      <c r="E43" s="43">
        <f t="shared" si="16"/>
        <v>0</v>
      </c>
      <c r="F43" s="20">
        <f t="shared" si="17"/>
        <v>0</v>
      </c>
      <c r="G43" s="21">
        <f t="shared" si="18"/>
        <v>0</v>
      </c>
      <c r="H43" s="7" t="str">
        <f t="shared" si="19"/>
        <v/>
      </c>
      <c r="I43" s="9">
        <f t="shared" si="20"/>
        <v>0</v>
      </c>
      <c r="J43" s="9">
        <f t="shared" si="21"/>
        <v>0</v>
      </c>
      <c r="K43" s="9">
        <f t="shared" si="22"/>
        <v>0</v>
      </c>
      <c r="L43" s="40">
        <f t="shared" si="23"/>
        <v>0</v>
      </c>
      <c r="M43" s="9" t="str">
        <f t="shared" si="24"/>
        <v/>
      </c>
      <c r="N43" s="9" t="str">
        <f t="shared" si="25"/>
        <v/>
      </c>
      <c r="O43" s="40" t="e">
        <f t="shared" si="26"/>
        <v>#VALUE!</v>
      </c>
      <c r="P43" s="41">
        <f t="shared" si="27"/>
        <v>0</v>
      </c>
      <c r="Q43" s="33">
        <f t="shared" si="28"/>
        <v>0</v>
      </c>
      <c r="R43" s="23" t="e">
        <f t="shared" si="29"/>
        <v>#VALUE!</v>
      </c>
      <c r="S43" s="8" t="e">
        <f t="shared" si="30"/>
        <v>#VALUE!</v>
      </c>
    </row>
    <row r="44" spans="1:19" ht="24" customHeight="1" x14ac:dyDescent="0.25">
      <c r="A44" s="4"/>
      <c r="B44" s="5"/>
      <c r="C44" s="5"/>
      <c r="D44" s="6">
        <f t="shared" si="0"/>
        <v>0</v>
      </c>
      <c r="E44" s="43">
        <f t="shared" si="16"/>
        <v>0</v>
      </c>
      <c r="F44" s="20">
        <f t="shared" si="17"/>
        <v>0</v>
      </c>
      <c r="G44" s="21">
        <f t="shared" si="18"/>
        <v>0</v>
      </c>
      <c r="H44" s="7" t="str">
        <f t="shared" si="19"/>
        <v/>
      </c>
      <c r="I44" s="9">
        <f t="shared" si="20"/>
        <v>0</v>
      </c>
      <c r="J44" s="9">
        <f t="shared" si="21"/>
        <v>0</v>
      </c>
      <c r="K44" s="9">
        <f t="shared" si="22"/>
        <v>0</v>
      </c>
      <c r="L44" s="40">
        <f t="shared" si="23"/>
        <v>0</v>
      </c>
      <c r="M44" s="9" t="str">
        <f t="shared" si="24"/>
        <v/>
      </c>
      <c r="N44" s="9" t="str">
        <f t="shared" si="25"/>
        <v/>
      </c>
      <c r="O44" s="40" t="e">
        <f t="shared" si="26"/>
        <v>#VALUE!</v>
      </c>
      <c r="P44" s="41">
        <f t="shared" si="27"/>
        <v>0</v>
      </c>
      <c r="Q44" s="33">
        <f t="shared" si="28"/>
        <v>0</v>
      </c>
      <c r="R44" s="23" t="e">
        <f t="shared" si="29"/>
        <v>#VALUE!</v>
      </c>
      <c r="S44" s="8" t="e">
        <f t="shared" si="30"/>
        <v>#VALUE!</v>
      </c>
    </row>
    <row r="45" spans="1:19" ht="24" customHeight="1" x14ac:dyDescent="0.25">
      <c r="A45" s="4"/>
      <c r="B45" s="5"/>
      <c r="C45" s="5"/>
      <c r="D45" s="6">
        <f t="shared" si="0"/>
        <v>0</v>
      </c>
      <c r="E45" s="43">
        <f t="shared" si="16"/>
        <v>0</v>
      </c>
      <c r="F45" s="20">
        <f t="shared" si="17"/>
        <v>0</v>
      </c>
      <c r="G45" s="21">
        <f t="shared" si="18"/>
        <v>0</v>
      </c>
      <c r="H45" s="7" t="str">
        <f t="shared" si="19"/>
        <v/>
      </c>
      <c r="I45" s="9">
        <f t="shared" si="20"/>
        <v>0</v>
      </c>
      <c r="J45" s="9">
        <f t="shared" si="21"/>
        <v>0</v>
      </c>
      <c r="K45" s="9">
        <f t="shared" si="22"/>
        <v>0</v>
      </c>
      <c r="L45" s="40">
        <f t="shared" si="23"/>
        <v>0</v>
      </c>
      <c r="M45" s="9" t="str">
        <f t="shared" si="24"/>
        <v/>
      </c>
      <c r="N45" s="9" t="str">
        <f t="shared" si="25"/>
        <v/>
      </c>
      <c r="O45" s="40" t="e">
        <f t="shared" si="26"/>
        <v>#VALUE!</v>
      </c>
      <c r="P45" s="41">
        <f t="shared" si="27"/>
        <v>0</v>
      </c>
      <c r="Q45" s="33">
        <f t="shared" si="28"/>
        <v>0</v>
      </c>
      <c r="R45" s="23" t="e">
        <f t="shared" si="29"/>
        <v>#VALUE!</v>
      </c>
      <c r="S45" s="8" t="e">
        <f t="shared" si="30"/>
        <v>#VALUE!</v>
      </c>
    </row>
    <row r="46" spans="1:19" ht="24" customHeight="1" x14ac:dyDescent="0.25">
      <c r="A46" s="4"/>
      <c r="B46" s="5"/>
      <c r="C46" s="5"/>
      <c r="D46" s="6">
        <f t="shared" si="0"/>
        <v>0</v>
      </c>
      <c r="E46" s="43">
        <f t="shared" si="16"/>
        <v>0</v>
      </c>
      <c r="F46" s="20">
        <f t="shared" si="17"/>
        <v>0</v>
      </c>
      <c r="G46" s="21">
        <f t="shared" si="18"/>
        <v>0</v>
      </c>
      <c r="H46" s="7" t="str">
        <f t="shared" si="19"/>
        <v/>
      </c>
      <c r="I46" s="9">
        <f t="shared" si="20"/>
        <v>0</v>
      </c>
      <c r="J46" s="9">
        <f t="shared" si="21"/>
        <v>0</v>
      </c>
      <c r="K46" s="9">
        <f t="shared" si="22"/>
        <v>0</v>
      </c>
      <c r="L46" s="40">
        <f t="shared" si="23"/>
        <v>0</v>
      </c>
      <c r="M46" s="9" t="str">
        <f t="shared" si="24"/>
        <v/>
      </c>
      <c r="N46" s="9" t="str">
        <f t="shared" si="25"/>
        <v/>
      </c>
      <c r="O46" s="40" t="e">
        <f t="shared" si="26"/>
        <v>#VALUE!</v>
      </c>
      <c r="P46" s="41">
        <f t="shared" si="27"/>
        <v>0</v>
      </c>
      <c r="Q46" s="33">
        <f t="shared" si="28"/>
        <v>0</v>
      </c>
      <c r="R46" s="23" t="e">
        <f t="shared" si="29"/>
        <v>#VALUE!</v>
      </c>
      <c r="S46" s="8" t="e">
        <f t="shared" si="30"/>
        <v>#VALUE!</v>
      </c>
    </row>
    <row r="47" spans="1:19" ht="24" customHeight="1" x14ac:dyDescent="0.25">
      <c r="A47" s="4"/>
      <c r="B47" s="5"/>
      <c r="C47" s="5"/>
      <c r="D47" s="6">
        <f t="shared" si="0"/>
        <v>0</v>
      </c>
      <c r="E47" s="43">
        <f t="shared" si="16"/>
        <v>0</v>
      </c>
      <c r="F47" s="20">
        <f t="shared" si="17"/>
        <v>0</v>
      </c>
      <c r="G47" s="21">
        <f t="shared" si="18"/>
        <v>0</v>
      </c>
      <c r="H47" s="7" t="str">
        <f t="shared" si="19"/>
        <v/>
      </c>
      <c r="I47" s="9">
        <f t="shared" si="20"/>
        <v>0</v>
      </c>
      <c r="J47" s="9">
        <f t="shared" si="21"/>
        <v>0</v>
      </c>
      <c r="K47" s="9">
        <f t="shared" si="22"/>
        <v>0</v>
      </c>
      <c r="L47" s="40">
        <f t="shared" si="23"/>
        <v>0</v>
      </c>
      <c r="M47" s="9" t="str">
        <f t="shared" si="24"/>
        <v/>
      </c>
      <c r="N47" s="9" t="str">
        <f t="shared" si="25"/>
        <v/>
      </c>
      <c r="O47" s="40" t="e">
        <f t="shared" si="26"/>
        <v>#VALUE!</v>
      </c>
      <c r="P47" s="41">
        <f t="shared" si="27"/>
        <v>0</v>
      </c>
      <c r="Q47" s="33">
        <f t="shared" si="28"/>
        <v>0</v>
      </c>
      <c r="R47" s="23" t="e">
        <f t="shared" si="29"/>
        <v>#VALUE!</v>
      </c>
      <c r="S47" s="8" t="e">
        <f t="shared" si="30"/>
        <v>#VALUE!</v>
      </c>
    </row>
    <row r="48" spans="1:19" ht="24" customHeight="1" x14ac:dyDescent="0.25">
      <c r="A48" s="4"/>
      <c r="B48" s="5"/>
      <c r="C48" s="5"/>
      <c r="D48" s="6">
        <f t="shared" si="0"/>
        <v>0</v>
      </c>
      <c r="E48" s="43">
        <f t="shared" si="16"/>
        <v>0</v>
      </c>
      <c r="F48" s="20">
        <f t="shared" si="17"/>
        <v>0</v>
      </c>
      <c r="G48" s="21">
        <f t="shared" si="18"/>
        <v>0</v>
      </c>
      <c r="H48" s="7" t="str">
        <f t="shared" si="19"/>
        <v/>
      </c>
      <c r="I48" s="9">
        <f t="shared" si="20"/>
        <v>0</v>
      </c>
      <c r="J48" s="9">
        <f t="shared" si="21"/>
        <v>0</v>
      </c>
      <c r="K48" s="9">
        <f t="shared" si="22"/>
        <v>0</v>
      </c>
      <c r="L48" s="40">
        <f t="shared" si="23"/>
        <v>0</v>
      </c>
      <c r="M48" s="9" t="str">
        <f t="shared" si="24"/>
        <v/>
      </c>
      <c r="N48" s="9" t="str">
        <f t="shared" si="25"/>
        <v/>
      </c>
      <c r="O48" s="40" t="e">
        <f t="shared" si="26"/>
        <v>#VALUE!</v>
      </c>
      <c r="P48" s="41">
        <f t="shared" si="27"/>
        <v>0</v>
      </c>
      <c r="Q48" s="33">
        <f t="shared" si="28"/>
        <v>0</v>
      </c>
      <c r="R48" s="23" t="e">
        <f t="shared" si="29"/>
        <v>#VALUE!</v>
      </c>
      <c r="S48" s="8" t="e">
        <f t="shared" si="30"/>
        <v>#VALUE!</v>
      </c>
    </row>
    <row r="49" spans="1:19" ht="24" customHeight="1" x14ac:dyDescent="0.25">
      <c r="A49" s="4"/>
      <c r="B49" s="5"/>
      <c r="C49" s="5"/>
      <c r="D49" s="6">
        <f t="shared" si="0"/>
        <v>0</v>
      </c>
      <c r="E49" s="43">
        <f t="shared" si="16"/>
        <v>0</v>
      </c>
      <c r="F49" s="20">
        <f t="shared" si="17"/>
        <v>0</v>
      </c>
      <c r="G49" s="21">
        <f t="shared" si="18"/>
        <v>0</v>
      </c>
      <c r="H49" s="7" t="str">
        <f t="shared" si="19"/>
        <v/>
      </c>
      <c r="I49" s="9">
        <f t="shared" si="20"/>
        <v>0</v>
      </c>
      <c r="J49" s="9">
        <f t="shared" si="21"/>
        <v>0</v>
      </c>
      <c r="K49" s="9">
        <f t="shared" si="22"/>
        <v>0</v>
      </c>
      <c r="L49" s="40">
        <f t="shared" si="23"/>
        <v>0</v>
      </c>
      <c r="M49" s="9" t="str">
        <f t="shared" si="24"/>
        <v/>
      </c>
      <c r="N49" s="9" t="str">
        <f t="shared" si="25"/>
        <v/>
      </c>
      <c r="O49" s="40" t="e">
        <f t="shared" si="26"/>
        <v>#VALUE!</v>
      </c>
      <c r="P49" s="41">
        <f t="shared" si="27"/>
        <v>0</v>
      </c>
      <c r="Q49" s="33">
        <f t="shared" si="28"/>
        <v>0</v>
      </c>
      <c r="R49" s="23" t="e">
        <f t="shared" si="29"/>
        <v>#VALUE!</v>
      </c>
      <c r="S49" s="8" t="e">
        <f t="shared" si="30"/>
        <v>#VALUE!</v>
      </c>
    </row>
    <row r="50" spans="1:19" ht="24" customHeight="1" x14ac:dyDescent="0.25">
      <c r="A50" s="4"/>
      <c r="B50" s="5"/>
      <c r="C50" s="5"/>
      <c r="D50" s="6">
        <f t="shared" si="0"/>
        <v>0</v>
      </c>
      <c r="E50" s="43">
        <f t="shared" si="16"/>
        <v>0</v>
      </c>
      <c r="F50" s="20">
        <f t="shared" si="17"/>
        <v>0</v>
      </c>
      <c r="G50" s="21">
        <f t="shared" si="18"/>
        <v>0</v>
      </c>
      <c r="H50" s="7" t="str">
        <f t="shared" si="19"/>
        <v/>
      </c>
      <c r="I50" s="9">
        <f t="shared" si="20"/>
        <v>0</v>
      </c>
      <c r="J50" s="9">
        <f t="shared" si="21"/>
        <v>0</v>
      </c>
      <c r="K50" s="9">
        <f t="shared" si="22"/>
        <v>0</v>
      </c>
      <c r="L50" s="40">
        <f t="shared" si="23"/>
        <v>0</v>
      </c>
      <c r="M50" s="9" t="str">
        <f t="shared" si="24"/>
        <v/>
      </c>
      <c r="N50" s="9" t="str">
        <f t="shared" si="25"/>
        <v/>
      </c>
      <c r="O50" s="40" t="e">
        <f t="shared" si="26"/>
        <v>#VALUE!</v>
      </c>
      <c r="P50" s="41">
        <f t="shared" si="27"/>
        <v>0</v>
      </c>
      <c r="Q50" s="33">
        <f t="shared" si="28"/>
        <v>0</v>
      </c>
      <c r="R50" s="23" t="e">
        <f t="shared" si="29"/>
        <v>#VALUE!</v>
      </c>
      <c r="S50" s="8" t="e">
        <f t="shared" si="30"/>
        <v>#VALUE!</v>
      </c>
    </row>
    <row r="51" spans="1:19" ht="24" customHeight="1" x14ac:dyDescent="0.25">
      <c r="A51" s="4"/>
      <c r="B51" s="5"/>
      <c r="C51" s="5"/>
      <c r="D51" s="6">
        <f t="shared" si="0"/>
        <v>0</v>
      </c>
      <c r="E51" s="43">
        <f t="shared" si="16"/>
        <v>0</v>
      </c>
      <c r="F51" s="20">
        <f t="shared" si="17"/>
        <v>0</v>
      </c>
      <c r="G51" s="21">
        <f t="shared" si="18"/>
        <v>0</v>
      </c>
      <c r="H51" s="7" t="str">
        <f t="shared" si="19"/>
        <v/>
      </c>
      <c r="I51" s="9">
        <f t="shared" si="20"/>
        <v>0</v>
      </c>
      <c r="J51" s="9">
        <f t="shared" si="21"/>
        <v>0</v>
      </c>
      <c r="K51" s="9">
        <f t="shared" si="22"/>
        <v>0</v>
      </c>
      <c r="L51" s="40">
        <f t="shared" si="23"/>
        <v>0</v>
      </c>
      <c r="M51" s="9" t="str">
        <f t="shared" si="24"/>
        <v/>
      </c>
      <c r="N51" s="9" t="str">
        <f t="shared" si="25"/>
        <v/>
      </c>
      <c r="O51" s="40" t="e">
        <f t="shared" si="26"/>
        <v>#VALUE!</v>
      </c>
      <c r="P51" s="41">
        <f t="shared" si="27"/>
        <v>0</v>
      </c>
      <c r="Q51" s="33">
        <f t="shared" si="28"/>
        <v>0</v>
      </c>
      <c r="R51" s="23" t="e">
        <f t="shared" si="29"/>
        <v>#VALUE!</v>
      </c>
      <c r="S51" s="8" t="e">
        <f t="shared" si="30"/>
        <v>#VALUE!</v>
      </c>
    </row>
    <row r="52" spans="1:19" ht="24" customHeight="1" x14ac:dyDescent="0.25">
      <c r="A52" s="4"/>
      <c r="B52" s="5"/>
      <c r="C52" s="5"/>
      <c r="D52" s="6">
        <f t="shared" si="0"/>
        <v>0</v>
      </c>
      <c r="E52" s="43">
        <f t="shared" si="16"/>
        <v>0</v>
      </c>
      <c r="F52" s="20">
        <f t="shared" si="17"/>
        <v>0</v>
      </c>
      <c r="G52" s="21">
        <f t="shared" si="18"/>
        <v>0</v>
      </c>
      <c r="H52" s="7" t="str">
        <f t="shared" si="19"/>
        <v/>
      </c>
      <c r="I52" s="9">
        <f t="shared" si="20"/>
        <v>0</v>
      </c>
      <c r="J52" s="9">
        <f t="shared" si="21"/>
        <v>0</v>
      </c>
      <c r="K52" s="9">
        <f t="shared" si="22"/>
        <v>0</v>
      </c>
      <c r="L52" s="40">
        <f t="shared" si="23"/>
        <v>0</v>
      </c>
      <c r="M52" s="9" t="str">
        <f t="shared" si="24"/>
        <v/>
      </c>
      <c r="N52" s="9" t="str">
        <f t="shared" si="25"/>
        <v/>
      </c>
      <c r="O52" s="40" t="e">
        <f t="shared" si="26"/>
        <v>#VALUE!</v>
      </c>
      <c r="P52" s="41">
        <f t="shared" si="27"/>
        <v>0</v>
      </c>
      <c r="Q52" s="33">
        <f t="shared" si="28"/>
        <v>0</v>
      </c>
      <c r="R52" s="23" t="e">
        <f t="shared" si="29"/>
        <v>#VALUE!</v>
      </c>
      <c r="S52" s="8" t="e">
        <f t="shared" si="30"/>
        <v>#VALUE!</v>
      </c>
    </row>
    <row r="53" spans="1:19" ht="24" customHeight="1" x14ac:dyDescent="0.25">
      <c r="A53" s="4"/>
      <c r="B53" s="5"/>
      <c r="C53" s="5"/>
      <c r="D53" s="6">
        <f t="shared" si="0"/>
        <v>0</v>
      </c>
      <c r="E53" s="43">
        <f t="shared" si="16"/>
        <v>0</v>
      </c>
      <c r="F53" s="20">
        <f t="shared" si="17"/>
        <v>0</v>
      </c>
      <c r="G53" s="21">
        <f t="shared" si="18"/>
        <v>0</v>
      </c>
      <c r="H53" s="7" t="str">
        <f t="shared" si="19"/>
        <v/>
      </c>
      <c r="I53" s="9">
        <f t="shared" si="20"/>
        <v>0</v>
      </c>
      <c r="J53" s="9">
        <f t="shared" si="21"/>
        <v>0</v>
      </c>
      <c r="K53" s="9">
        <f t="shared" si="22"/>
        <v>0</v>
      </c>
      <c r="L53" s="40">
        <f t="shared" si="23"/>
        <v>0</v>
      </c>
      <c r="M53" s="9" t="str">
        <f t="shared" si="24"/>
        <v/>
      </c>
      <c r="N53" s="9" t="str">
        <f t="shared" si="25"/>
        <v/>
      </c>
      <c r="O53" s="40" t="e">
        <f t="shared" si="26"/>
        <v>#VALUE!</v>
      </c>
      <c r="P53" s="41">
        <f t="shared" si="27"/>
        <v>0</v>
      </c>
      <c r="Q53" s="33">
        <f t="shared" si="28"/>
        <v>0</v>
      </c>
      <c r="R53" s="23" t="e">
        <f t="shared" si="29"/>
        <v>#VALUE!</v>
      </c>
      <c r="S53" s="8" t="e">
        <f t="shared" si="30"/>
        <v>#VALUE!</v>
      </c>
    </row>
    <row r="54" spans="1:19" ht="24" customHeight="1" x14ac:dyDescent="0.25">
      <c r="A54" s="4"/>
      <c r="B54" s="5"/>
      <c r="C54" s="5"/>
      <c r="D54" s="6">
        <f t="shared" si="0"/>
        <v>0</v>
      </c>
      <c r="E54" s="43">
        <f t="shared" ref="E54:E98" si="31">(A54+B54)*2*C54/9.29*1.2/21</f>
        <v>0</v>
      </c>
      <c r="F54" s="20">
        <f t="shared" ref="F54:F98" si="32">(A54+B54)*2*C54/9.29*1.2/10.76</f>
        <v>0</v>
      </c>
      <c r="G54" s="21">
        <f t="shared" ref="G54:G98" si="33">(A54+B54)*2*C54/9.29*1.2</f>
        <v>0</v>
      </c>
      <c r="H54" s="7" t="str">
        <f t="shared" ref="H54:H98" si="34">IF(A54=0,"",IF(A54&lt;31,"26#",IF(A54&lt;76,"24#",IF(A54&lt;151,"22#",IF(A54&lt;225,"20#",IF(A54&lt;300,"18#"))))))</f>
        <v/>
      </c>
      <c r="I54" s="9">
        <f t="shared" ref="I54:I98" si="35">((A54+B54)*2*7.85*C54)/100</f>
        <v>0</v>
      </c>
      <c r="J54" s="9">
        <f t="shared" ref="J54:J98" si="36">(C54/1.2)*8</f>
        <v>0</v>
      </c>
      <c r="K54" s="9">
        <f t="shared" ref="K54:K98" si="37">(((A54+B54)*2)/15)*D54</f>
        <v>0</v>
      </c>
      <c r="L54" s="40">
        <f t="shared" ref="L54:L98" si="38">(((A54+B54)*2)*D54)/100</f>
        <v>0</v>
      </c>
      <c r="M54" s="9" t="str">
        <f t="shared" ref="M54:M98" si="39">IF(A54=0,"",IF(A54&lt;75,"0",IF(A54&lt;150,"1",IF(A54&lt;300,"2",IF(A54&lt;450,"3")))))</f>
        <v/>
      </c>
      <c r="N54" s="9" t="str">
        <f t="shared" ref="N54:N98" si="40">IF(B54=0,"",IF(B54&lt;75,"0",IF(B54&lt;150,"1",IF(B54&lt;300,"2"))))</f>
        <v/>
      </c>
      <c r="O54" s="40" t="e">
        <f t="shared" ref="O54:O98" si="41">(((B54/100)*M54)+((A54/100)*N54))*D54</f>
        <v>#VALUE!</v>
      </c>
      <c r="P54" s="41">
        <f t="shared" ref="P54:P98" si="42">(C54/2.2)*((A54+10)/100)</f>
        <v>0</v>
      </c>
      <c r="Q54" s="33">
        <f t="shared" ref="Q54:Q98" si="43">C54/2.2</f>
        <v>0</v>
      </c>
      <c r="R54" s="23" t="e">
        <f t="shared" ref="R54:R98" si="44">(M54*N54)*D54</f>
        <v>#VALUE!</v>
      </c>
      <c r="S54" s="8" t="e">
        <f t="shared" ref="S54:S98" si="45">((M54+N54)*4)*D54</f>
        <v>#VALUE!</v>
      </c>
    </row>
    <row r="55" spans="1:19" ht="24" customHeight="1" x14ac:dyDescent="0.25">
      <c r="A55" s="4"/>
      <c r="B55" s="5"/>
      <c r="C55" s="5"/>
      <c r="D55" s="6">
        <f t="shared" si="0"/>
        <v>0</v>
      </c>
      <c r="E55" s="43">
        <f t="shared" si="31"/>
        <v>0</v>
      </c>
      <c r="F55" s="20">
        <f t="shared" si="32"/>
        <v>0</v>
      </c>
      <c r="G55" s="21">
        <f t="shared" si="33"/>
        <v>0</v>
      </c>
      <c r="H55" s="7" t="str">
        <f t="shared" si="34"/>
        <v/>
      </c>
      <c r="I55" s="9">
        <f t="shared" si="35"/>
        <v>0</v>
      </c>
      <c r="J55" s="9">
        <f t="shared" si="36"/>
        <v>0</v>
      </c>
      <c r="K55" s="9">
        <f t="shared" si="37"/>
        <v>0</v>
      </c>
      <c r="L55" s="40">
        <f t="shared" si="38"/>
        <v>0</v>
      </c>
      <c r="M55" s="9" t="str">
        <f t="shared" si="39"/>
        <v/>
      </c>
      <c r="N55" s="9" t="str">
        <f t="shared" si="40"/>
        <v/>
      </c>
      <c r="O55" s="40" t="e">
        <f t="shared" si="41"/>
        <v>#VALUE!</v>
      </c>
      <c r="P55" s="41">
        <f t="shared" si="42"/>
        <v>0</v>
      </c>
      <c r="Q55" s="33">
        <f t="shared" si="43"/>
        <v>0</v>
      </c>
      <c r="R55" s="23" t="e">
        <f t="shared" si="44"/>
        <v>#VALUE!</v>
      </c>
      <c r="S55" s="8" t="e">
        <f t="shared" si="45"/>
        <v>#VALUE!</v>
      </c>
    </row>
    <row r="56" spans="1:19" ht="24" customHeight="1" x14ac:dyDescent="0.25">
      <c r="A56" s="4"/>
      <c r="B56" s="5"/>
      <c r="C56" s="5"/>
      <c r="D56" s="6">
        <f t="shared" si="0"/>
        <v>0</v>
      </c>
      <c r="E56" s="43">
        <f t="shared" si="31"/>
        <v>0</v>
      </c>
      <c r="F56" s="20">
        <f t="shared" si="32"/>
        <v>0</v>
      </c>
      <c r="G56" s="21">
        <f t="shared" si="33"/>
        <v>0</v>
      </c>
      <c r="H56" s="7" t="str">
        <f t="shared" si="34"/>
        <v/>
      </c>
      <c r="I56" s="9">
        <f t="shared" si="35"/>
        <v>0</v>
      </c>
      <c r="J56" s="9">
        <f t="shared" si="36"/>
        <v>0</v>
      </c>
      <c r="K56" s="9">
        <f t="shared" si="37"/>
        <v>0</v>
      </c>
      <c r="L56" s="40">
        <f t="shared" si="38"/>
        <v>0</v>
      </c>
      <c r="M56" s="9" t="str">
        <f t="shared" si="39"/>
        <v/>
      </c>
      <c r="N56" s="9" t="str">
        <f t="shared" si="40"/>
        <v/>
      </c>
      <c r="O56" s="40" t="e">
        <f t="shared" si="41"/>
        <v>#VALUE!</v>
      </c>
      <c r="P56" s="41">
        <f t="shared" si="42"/>
        <v>0</v>
      </c>
      <c r="Q56" s="33">
        <f t="shared" si="43"/>
        <v>0</v>
      </c>
      <c r="R56" s="23" t="e">
        <f t="shared" si="44"/>
        <v>#VALUE!</v>
      </c>
      <c r="S56" s="8" t="e">
        <f t="shared" si="45"/>
        <v>#VALUE!</v>
      </c>
    </row>
    <row r="57" spans="1:19" ht="24" customHeight="1" x14ac:dyDescent="0.25">
      <c r="A57" s="4"/>
      <c r="B57" s="5"/>
      <c r="C57" s="5"/>
      <c r="D57" s="6">
        <f t="shared" si="0"/>
        <v>0</v>
      </c>
      <c r="E57" s="43">
        <f t="shared" si="31"/>
        <v>0</v>
      </c>
      <c r="F57" s="20">
        <f t="shared" si="32"/>
        <v>0</v>
      </c>
      <c r="G57" s="21">
        <f t="shared" si="33"/>
        <v>0</v>
      </c>
      <c r="H57" s="7" t="str">
        <f t="shared" si="34"/>
        <v/>
      </c>
      <c r="I57" s="9">
        <f t="shared" si="35"/>
        <v>0</v>
      </c>
      <c r="J57" s="9">
        <f t="shared" si="36"/>
        <v>0</v>
      </c>
      <c r="K57" s="9">
        <f t="shared" si="37"/>
        <v>0</v>
      </c>
      <c r="L57" s="40">
        <f t="shared" si="38"/>
        <v>0</v>
      </c>
      <c r="M57" s="9" t="str">
        <f t="shared" si="39"/>
        <v/>
      </c>
      <c r="N57" s="9" t="str">
        <f t="shared" si="40"/>
        <v/>
      </c>
      <c r="O57" s="40" t="e">
        <f t="shared" si="41"/>
        <v>#VALUE!</v>
      </c>
      <c r="P57" s="41">
        <f t="shared" si="42"/>
        <v>0</v>
      </c>
      <c r="Q57" s="33">
        <f t="shared" si="43"/>
        <v>0</v>
      </c>
      <c r="R57" s="23" t="e">
        <f t="shared" si="44"/>
        <v>#VALUE!</v>
      </c>
      <c r="S57" s="8" t="e">
        <f t="shared" si="45"/>
        <v>#VALUE!</v>
      </c>
    </row>
    <row r="58" spans="1:19" ht="24" customHeight="1" x14ac:dyDescent="0.25">
      <c r="A58" s="4"/>
      <c r="B58" s="5"/>
      <c r="C58" s="5"/>
      <c r="D58" s="6">
        <f t="shared" si="0"/>
        <v>0</v>
      </c>
      <c r="E58" s="43">
        <f t="shared" si="31"/>
        <v>0</v>
      </c>
      <c r="F58" s="20">
        <f t="shared" si="32"/>
        <v>0</v>
      </c>
      <c r="G58" s="21">
        <f t="shared" si="33"/>
        <v>0</v>
      </c>
      <c r="H58" s="7" t="str">
        <f t="shared" si="34"/>
        <v/>
      </c>
      <c r="I58" s="9">
        <f t="shared" si="35"/>
        <v>0</v>
      </c>
      <c r="J58" s="9">
        <f t="shared" si="36"/>
        <v>0</v>
      </c>
      <c r="K58" s="9">
        <f t="shared" si="37"/>
        <v>0</v>
      </c>
      <c r="L58" s="40">
        <f t="shared" si="38"/>
        <v>0</v>
      </c>
      <c r="M58" s="9" t="str">
        <f t="shared" si="39"/>
        <v/>
      </c>
      <c r="N58" s="9" t="str">
        <f t="shared" si="40"/>
        <v/>
      </c>
      <c r="O58" s="40" t="e">
        <f t="shared" si="41"/>
        <v>#VALUE!</v>
      </c>
      <c r="P58" s="41">
        <f t="shared" si="42"/>
        <v>0</v>
      </c>
      <c r="Q58" s="33">
        <f t="shared" si="43"/>
        <v>0</v>
      </c>
      <c r="R58" s="23" t="e">
        <f t="shared" si="44"/>
        <v>#VALUE!</v>
      </c>
      <c r="S58" s="8" t="e">
        <f t="shared" si="45"/>
        <v>#VALUE!</v>
      </c>
    </row>
    <row r="59" spans="1:19" ht="24" customHeight="1" x14ac:dyDescent="0.25">
      <c r="A59" s="4"/>
      <c r="B59" s="5"/>
      <c r="C59" s="5"/>
      <c r="D59" s="6">
        <f t="shared" si="0"/>
        <v>0</v>
      </c>
      <c r="E59" s="43">
        <f t="shared" si="31"/>
        <v>0</v>
      </c>
      <c r="F59" s="20">
        <f t="shared" si="32"/>
        <v>0</v>
      </c>
      <c r="G59" s="21">
        <f t="shared" si="33"/>
        <v>0</v>
      </c>
      <c r="H59" s="7" t="str">
        <f t="shared" si="34"/>
        <v/>
      </c>
      <c r="I59" s="9">
        <f t="shared" si="35"/>
        <v>0</v>
      </c>
      <c r="J59" s="9">
        <f t="shared" si="36"/>
        <v>0</v>
      </c>
      <c r="K59" s="9">
        <f t="shared" si="37"/>
        <v>0</v>
      </c>
      <c r="L59" s="40">
        <f t="shared" si="38"/>
        <v>0</v>
      </c>
      <c r="M59" s="9" t="str">
        <f t="shared" si="39"/>
        <v/>
      </c>
      <c r="N59" s="9" t="str">
        <f t="shared" si="40"/>
        <v/>
      </c>
      <c r="O59" s="40" t="e">
        <f t="shared" si="41"/>
        <v>#VALUE!</v>
      </c>
      <c r="P59" s="41">
        <f t="shared" si="42"/>
        <v>0</v>
      </c>
      <c r="Q59" s="33">
        <f t="shared" si="43"/>
        <v>0</v>
      </c>
      <c r="R59" s="23" t="e">
        <f t="shared" si="44"/>
        <v>#VALUE!</v>
      </c>
      <c r="S59" s="8" t="e">
        <f t="shared" si="45"/>
        <v>#VALUE!</v>
      </c>
    </row>
    <row r="60" spans="1:19" ht="24" customHeight="1" x14ac:dyDescent="0.25">
      <c r="A60" s="4"/>
      <c r="B60" s="5"/>
      <c r="C60" s="5"/>
      <c r="D60" s="6">
        <f t="shared" si="0"/>
        <v>0</v>
      </c>
      <c r="E60" s="43">
        <f t="shared" si="31"/>
        <v>0</v>
      </c>
      <c r="F60" s="20">
        <f t="shared" si="32"/>
        <v>0</v>
      </c>
      <c r="G60" s="21">
        <f t="shared" si="33"/>
        <v>0</v>
      </c>
      <c r="H60" s="7" t="str">
        <f t="shared" si="34"/>
        <v/>
      </c>
      <c r="I60" s="9">
        <f t="shared" si="35"/>
        <v>0</v>
      </c>
      <c r="J60" s="9">
        <f t="shared" si="36"/>
        <v>0</v>
      </c>
      <c r="K60" s="9">
        <f t="shared" si="37"/>
        <v>0</v>
      </c>
      <c r="L60" s="40">
        <f t="shared" si="38"/>
        <v>0</v>
      </c>
      <c r="M60" s="9" t="str">
        <f t="shared" si="39"/>
        <v/>
      </c>
      <c r="N60" s="9" t="str">
        <f t="shared" si="40"/>
        <v/>
      </c>
      <c r="O60" s="40" t="e">
        <f t="shared" si="41"/>
        <v>#VALUE!</v>
      </c>
      <c r="P60" s="41">
        <f t="shared" si="42"/>
        <v>0</v>
      </c>
      <c r="Q60" s="33">
        <f t="shared" si="43"/>
        <v>0</v>
      </c>
      <c r="R60" s="23" t="e">
        <f t="shared" si="44"/>
        <v>#VALUE!</v>
      </c>
      <c r="S60" s="8" t="e">
        <f t="shared" si="45"/>
        <v>#VALUE!</v>
      </c>
    </row>
    <row r="61" spans="1:19" ht="24" customHeight="1" x14ac:dyDescent="0.25">
      <c r="A61" s="4"/>
      <c r="B61" s="5"/>
      <c r="C61" s="5"/>
      <c r="D61" s="6">
        <f t="shared" si="0"/>
        <v>0</v>
      </c>
      <c r="E61" s="43">
        <f t="shared" si="31"/>
        <v>0</v>
      </c>
      <c r="F61" s="20">
        <f t="shared" si="32"/>
        <v>0</v>
      </c>
      <c r="G61" s="21">
        <f t="shared" si="33"/>
        <v>0</v>
      </c>
      <c r="H61" s="7" t="str">
        <f t="shared" si="34"/>
        <v/>
      </c>
      <c r="I61" s="9">
        <f t="shared" si="35"/>
        <v>0</v>
      </c>
      <c r="J61" s="9">
        <f t="shared" si="36"/>
        <v>0</v>
      </c>
      <c r="K61" s="9">
        <f t="shared" si="37"/>
        <v>0</v>
      </c>
      <c r="L61" s="40">
        <f t="shared" si="38"/>
        <v>0</v>
      </c>
      <c r="M61" s="9" t="str">
        <f t="shared" si="39"/>
        <v/>
      </c>
      <c r="N61" s="9" t="str">
        <f t="shared" si="40"/>
        <v/>
      </c>
      <c r="O61" s="40" t="e">
        <f t="shared" si="41"/>
        <v>#VALUE!</v>
      </c>
      <c r="P61" s="41">
        <f t="shared" si="42"/>
        <v>0</v>
      </c>
      <c r="Q61" s="33">
        <f t="shared" si="43"/>
        <v>0</v>
      </c>
      <c r="R61" s="23" t="e">
        <f t="shared" si="44"/>
        <v>#VALUE!</v>
      </c>
      <c r="S61" s="8" t="e">
        <f t="shared" si="45"/>
        <v>#VALUE!</v>
      </c>
    </row>
    <row r="62" spans="1:19" s="1" customFormat="1" ht="24" customHeight="1" x14ac:dyDescent="0.25">
      <c r="A62" s="4"/>
      <c r="B62" s="5"/>
      <c r="C62" s="5"/>
      <c r="D62" s="6">
        <f t="shared" si="0"/>
        <v>0</v>
      </c>
      <c r="E62" s="43">
        <f t="shared" si="31"/>
        <v>0</v>
      </c>
      <c r="F62" s="20">
        <f t="shared" si="32"/>
        <v>0</v>
      </c>
      <c r="G62" s="21">
        <f t="shared" si="33"/>
        <v>0</v>
      </c>
      <c r="H62" s="7" t="str">
        <f t="shared" si="34"/>
        <v/>
      </c>
      <c r="I62" s="9">
        <f t="shared" si="35"/>
        <v>0</v>
      </c>
      <c r="J62" s="9">
        <f t="shared" si="36"/>
        <v>0</v>
      </c>
      <c r="K62" s="9">
        <f t="shared" si="37"/>
        <v>0</v>
      </c>
      <c r="L62" s="40">
        <f t="shared" si="38"/>
        <v>0</v>
      </c>
      <c r="M62" s="9" t="str">
        <f t="shared" si="39"/>
        <v/>
      </c>
      <c r="N62" s="9" t="str">
        <f t="shared" si="40"/>
        <v/>
      </c>
      <c r="O62" s="40" t="e">
        <f t="shared" si="41"/>
        <v>#VALUE!</v>
      </c>
      <c r="P62" s="41">
        <f t="shared" si="42"/>
        <v>0</v>
      </c>
      <c r="Q62" s="33">
        <f t="shared" si="43"/>
        <v>0</v>
      </c>
      <c r="R62" s="23" t="e">
        <f t="shared" si="44"/>
        <v>#VALUE!</v>
      </c>
      <c r="S62" s="8" t="e">
        <f t="shared" si="45"/>
        <v>#VALUE!</v>
      </c>
    </row>
    <row r="63" spans="1:19" ht="24" customHeight="1" x14ac:dyDescent="0.25">
      <c r="A63" s="4"/>
      <c r="B63" s="5"/>
      <c r="C63" s="5"/>
      <c r="D63" s="6">
        <f t="shared" si="0"/>
        <v>0</v>
      </c>
      <c r="E63" s="43">
        <f t="shared" si="31"/>
        <v>0</v>
      </c>
      <c r="F63" s="20">
        <f t="shared" si="32"/>
        <v>0</v>
      </c>
      <c r="G63" s="21">
        <f t="shared" si="33"/>
        <v>0</v>
      </c>
      <c r="H63" s="7" t="str">
        <f t="shared" si="34"/>
        <v/>
      </c>
      <c r="I63" s="9">
        <f t="shared" si="35"/>
        <v>0</v>
      </c>
      <c r="J63" s="9">
        <f t="shared" si="36"/>
        <v>0</v>
      </c>
      <c r="K63" s="9">
        <f t="shared" si="37"/>
        <v>0</v>
      </c>
      <c r="L63" s="40">
        <f t="shared" si="38"/>
        <v>0</v>
      </c>
      <c r="M63" s="9" t="str">
        <f t="shared" si="39"/>
        <v/>
      </c>
      <c r="N63" s="9" t="str">
        <f t="shared" si="40"/>
        <v/>
      </c>
      <c r="O63" s="40" t="e">
        <f t="shared" si="41"/>
        <v>#VALUE!</v>
      </c>
      <c r="P63" s="41">
        <f t="shared" si="42"/>
        <v>0</v>
      </c>
      <c r="Q63" s="33">
        <f t="shared" si="43"/>
        <v>0</v>
      </c>
      <c r="R63" s="23" t="e">
        <f t="shared" si="44"/>
        <v>#VALUE!</v>
      </c>
      <c r="S63" s="8" t="e">
        <f t="shared" si="45"/>
        <v>#VALUE!</v>
      </c>
    </row>
    <row r="64" spans="1:19" ht="24" customHeight="1" x14ac:dyDescent="0.25">
      <c r="A64" s="4"/>
      <c r="B64" s="5"/>
      <c r="C64" s="5"/>
      <c r="D64" s="6">
        <f t="shared" si="0"/>
        <v>0</v>
      </c>
      <c r="E64" s="43">
        <f t="shared" si="31"/>
        <v>0</v>
      </c>
      <c r="F64" s="20">
        <f t="shared" si="32"/>
        <v>0</v>
      </c>
      <c r="G64" s="21">
        <f t="shared" si="33"/>
        <v>0</v>
      </c>
      <c r="H64" s="7" t="str">
        <f t="shared" si="34"/>
        <v/>
      </c>
      <c r="I64" s="9">
        <f t="shared" si="35"/>
        <v>0</v>
      </c>
      <c r="J64" s="9">
        <f t="shared" si="36"/>
        <v>0</v>
      </c>
      <c r="K64" s="9">
        <f t="shared" si="37"/>
        <v>0</v>
      </c>
      <c r="L64" s="40">
        <f t="shared" si="38"/>
        <v>0</v>
      </c>
      <c r="M64" s="9" t="str">
        <f t="shared" si="39"/>
        <v/>
      </c>
      <c r="N64" s="9" t="str">
        <f t="shared" si="40"/>
        <v/>
      </c>
      <c r="O64" s="40" t="e">
        <f t="shared" si="41"/>
        <v>#VALUE!</v>
      </c>
      <c r="P64" s="41">
        <f t="shared" si="42"/>
        <v>0</v>
      </c>
      <c r="Q64" s="33">
        <f t="shared" si="43"/>
        <v>0</v>
      </c>
      <c r="R64" s="23" t="e">
        <f t="shared" si="44"/>
        <v>#VALUE!</v>
      </c>
      <c r="S64" s="8" t="e">
        <f t="shared" si="45"/>
        <v>#VALUE!</v>
      </c>
    </row>
    <row r="65" spans="1:19" ht="24" customHeight="1" x14ac:dyDescent="0.25">
      <c r="A65" s="4"/>
      <c r="B65" s="5"/>
      <c r="C65" s="5"/>
      <c r="D65" s="6">
        <f t="shared" si="0"/>
        <v>0</v>
      </c>
      <c r="E65" s="43">
        <f t="shared" si="31"/>
        <v>0</v>
      </c>
      <c r="F65" s="20">
        <f t="shared" si="32"/>
        <v>0</v>
      </c>
      <c r="G65" s="21">
        <f t="shared" si="33"/>
        <v>0</v>
      </c>
      <c r="H65" s="7" t="str">
        <f t="shared" si="34"/>
        <v/>
      </c>
      <c r="I65" s="9">
        <f t="shared" si="35"/>
        <v>0</v>
      </c>
      <c r="J65" s="9">
        <f t="shared" si="36"/>
        <v>0</v>
      </c>
      <c r="K65" s="9">
        <f t="shared" si="37"/>
        <v>0</v>
      </c>
      <c r="L65" s="40">
        <f t="shared" si="38"/>
        <v>0</v>
      </c>
      <c r="M65" s="9" t="str">
        <f t="shared" si="39"/>
        <v/>
      </c>
      <c r="N65" s="9" t="str">
        <f t="shared" si="40"/>
        <v/>
      </c>
      <c r="O65" s="40" t="e">
        <f t="shared" si="41"/>
        <v>#VALUE!</v>
      </c>
      <c r="P65" s="41">
        <f t="shared" si="42"/>
        <v>0</v>
      </c>
      <c r="Q65" s="33">
        <f t="shared" si="43"/>
        <v>0</v>
      </c>
      <c r="R65" s="23" t="e">
        <f t="shared" si="44"/>
        <v>#VALUE!</v>
      </c>
      <c r="S65" s="8" t="e">
        <f t="shared" si="45"/>
        <v>#VALUE!</v>
      </c>
    </row>
    <row r="66" spans="1:19" ht="24" customHeight="1" x14ac:dyDescent="0.25">
      <c r="A66" s="4"/>
      <c r="B66" s="5"/>
      <c r="C66" s="5"/>
      <c r="D66" s="6">
        <f t="shared" si="0"/>
        <v>0</v>
      </c>
      <c r="E66" s="43">
        <f t="shared" si="31"/>
        <v>0</v>
      </c>
      <c r="F66" s="20">
        <f t="shared" si="32"/>
        <v>0</v>
      </c>
      <c r="G66" s="21">
        <f t="shared" si="33"/>
        <v>0</v>
      </c>
      <c r="H66" s="7" t="str">
        <f t="shared" si="34"/>
        <v/>
      </c>
      <c r="I66" s="9">
        <f t="shared" si="35"/>
        <v>0</v>
      </c>
      <c r="J66" s="9">
        <f t="shared" si="36"/>
        <v>0</v>
      </c>
      <c r="K66" s="9">
        <f t="shared" si="37"/>
        <v>0</v>
      </c>
      <c r="L66" s="40">
        <f t="shared" si="38"/>
        <v>0</v>
      </c>
      <c r="M66" s="9" t="str">
        <f t="shared" si="39"/>
        <v/>
      </c>
      <c r="N66" s="9" t="str">
        <f t="shared" si="40"/>
        <v/>
      </c>
      <c r="O66" s="40" t="e">
        <f t="shared" si="41"/>
        <v>#VALUE!</v>
      </c>
      <c r="P66" s="41">
        <f t="shared" si="42"/>
        <v>0</v>
      </c>
      <c r="Q66" s="33">
        <f t="shared" si="43"/>
        <v>0</v>
      </c>
      <c r="R66" s="23" t="e">
        <f t="shared" si="44"/>
        <v>#VALUE!</v>
      </c>
      <c r="S66" s="8" t="e">
        <f t="shared" si="45"/>
        <v>#VALUE!</v>
      </c>
    </row>
    <row r="67" spans="1:19" ht="24" customHeight="1" x14ac:dyDescent="0.25">
      <c r="A67" s="4"/>
      <c r="B67" s="5"/>
      <c r="C67" s="5"/>
      <c r="D67" s="6">
        <f t="shared" si="0"/>
        <v>0</v>
      </c>
      <c r="E67" s="43">
        <f t="shared" si="31"/>
        <v>0</v>
      </c>
      <c r="F67" s="20">
        <f t="shared" si="32"/>
        <v>0</v>
      </c>
      <c r="G67" s="21">
        <f t="shared" si="33"/>
        <v>0</v>
      </c>
      <c r="H67" s="7" t="str">
        <f t="shared" si="34"/>
        <v/>
      </c>
      <c r="I67" s="9">
        <f t="shared" si="35"/>
        <v>0</v>
      </c>
      <c r="J67" s="9">
        <f t="shared" si="36"/>
        <v>0</v>
      </c>
      <c r="K67" s="9">
        <f t="shared" si="37"/>
        <v>0</v>
      </c>
      <c r="L67" s="40">
        <f t="shared" si="38"/>
        <v>0</v>
      </c>
      <c r="M67" s="9" t="str">
        <f t="shared" si="39"/>
        <v/>
      </c>
      <c r="N67" s="9" t="str">
        <f t="shared" si="40"/>
        <v/>
      </c>
      <c r="O67" s="40" t="e">
        <f t="shared" si="41"/>
        <v>#VALUE!</v>
      </c>
      <c r="P67" s="41">
        <f t="shared" si="42"/>
        <v>0</v>
      </c>
      <c r="Q67" s="33">
        <f t="shared" si="43"/>
        <v>0</v>
      </c>
      <c r="R67" s="23" t="e">
        <f t="shared" si="44"/>
        <v>#VALUE!</v>
      </c>
      <c r="S67" s="8" t="e">
        <f t="shared" si="45"/>
        <v>#VALUE!</v>
      </c>
    </row>
    <row r="68" spans="1:19" ht="24" customHeight="1" x14ac:dyDescent="0.25">
      <c r="A68" s="4"/>
      <c r="B68" s="5"/>
      <c r="C68" s="5"/>
      <c r="D68" s="6">
        <f t="shared" si="0"/>
        <v>0</v>
      </c>
      <c r="E68" s="43">
        <f t="shared" si="31"/>
        <v>0</v>
      </c>
      <c r="F68" s="20">
        <f t="shared" si="32"/>
        <v>0</v>
      </c>
      <c r="G68" s="21">
        <f t="shared" si="33"/>
        <v>0</v>
      </c>
      <c r="H68" s="7" t="str">
        <f t="shared" si="34"/>
        <v/>
      </c>
      <c r="I68" s="9">
        <f t="shared" si="35"/>
        <v>0</v>
      </c>
      <c r="J68" s="9">
        <f t="shared" si="36"/>
        <v>0</v>
      </c>
      <c r="K68" s="9">
        <f t="shared" si="37"/>
        <v>0</v>
      </c>
      <c r="L68" s="40">
        <f t="shared" si="38"/>
        <v>0</v>
      </c>
      <c r="M68" s="9" t="str">
        <f t="shared" si="39"/>
        <v/>
      </c>
      <c r="N68" s="9" t="str">
        <f t="shared" si="40"/>
        <v/>
      </c>
      <c r="O68" s="40" t="e">
        <f t="shared" si="41"/>
        <v>#VALUE!</v>
      </c>
      <c r="P68" s="41">
        <f t="shared" si="42"/>
        <v>0</v>
      </c>
      <c r="Q68" s="33">
        <f t="shared" si="43"/>
        <v>0</v>
      </c>
      <c r="R68" s="23" t="e">
        <f t="shared" si="44"/>
        <v>#VALUE!</v>
      </c>
      <c r="S68" s="8" t="e">
        <f t="shared" si="45"/>
        <v>#VALUE!</v>
      </c>
    </row>
    <row r="69" spans="1:19" ht="24" customHeight="1" x14ac:dyDescent="0.25">
      <c r="A69" s="4"/>
      <c r="B69" s="5"/>
      <c r="C69" s="5"/>
      <c r="D69" s="6">
        <f t="shared" si="0"/>
        <v>0</v>
      </c>
      <c r="E69" s="43">
        <f t="shared" si="31"/>
        <v>0</v>
      </c>
      <c r="F69" s="20">
        <f t="shared" si="32"/>
        <v>0</v>
      </c>
      <c r="G69" s="21">
        <f t="shared" si="33"/>
        <v>0</v>
      </c>
      <c r="H69" s="7" t="str">
        <f t="shared" si="34"/>
        <v/>
      </c>
      <c r="I69" s="9">
        <f t="shared" si="35"/>
        <v>0</v>
      </c>
      <c r="J69" s="9">
        <f t="shared" si="36"/>
        <v>0</v>
      </c>
      <c r="K69" s="9">
        <f t="shared" si="37"/>
        <v>0</v>
      </c>
      <c r="L69" s="40">
        <f t="shared" si="38"/>
        <v>0</v>
      </c>
      <c r="M69" s="9" t="str">
        <f t="shared" si="39"/>
        <v/>
      </c>
      <c r="N69" s="9" t="str">
        <f t="shared" si="40"/>
        <v/>
      </c>
      <c r="O69" s="40" t="e">
        <f t="shared" si="41"/>
        <v>#VALUE!</v>
      </c>
      <c r="P69" s="41">
        <f t="shared" si="42"/>
        <v>0</v>
      </c>
      <c r="Q69" s="33">
        <f t="shared" si="43"/>
        <v>0</v>
      </c>
      <c r="R69" s="23" t="e">
        <f t="shared" si="44"/>
        <v>#VALUE!</v>
      </c>
      <c r="S69" s="8" t="e">
        <f t="shared" si="45"/>
        <v>#VALUE!</v>
      </c>
    </row>
    <row r="70" spans="1:19" ht="24" customHeight="1" x14ac:dyDescent="0.25">
      <c r="A70" s="4"/>
      <c r="B70" s="5"/>
      <c r="C70" s="5"/>
      <c r="D70" s="6">
        <f t="shared" si="0"/>
        <v>0</v>
      </c>
      <c r="E70" s="43">
        <f t="shared" si="31"/>
        <v>0</v>
      </c>
      <c r="F70" s="20">
        <f t="shared" si="32"/>
        <v>0</v>
      </c>
      <c r="G70" s="21">
        <f t="shared" si="33"/>
        <v>0</v>
      </c>
      <c r="H70" s="7" t="str">
        <f t="shared" si="34"/>
        <v/>
      </c>
      <c r="I70" s="9">
        <f t="shared" si="35"/>
        <v>0</v>
      </c>
      <c r="J70" s="9">
        <f t="shared" si="36"/>
        <v>0</v>
      </c>
      <c r="K70" s="9">
        <f t="shared" si="37"/>
        <v>0</v>
      </c>
      <c r="L70" s="40">
        <f t="shared" si="38"/>
        <v>0</v>
      </c>
      <c r="M70" s="9" t="str">
        <f t="shared" si="39"/>
        <v/>
      </c>
      <c r="N70" s="9" t="str">
        <f t="shared" si="40"/>
        <v/>
      </c>
      <c r="O70" s="40" t="e">
        <f t="shared" si="41"/>
        <v>#VALUE!</v>
      </c>
      <c r="P70" s="41">
        <f t="shared" si="42"/>
        <v>0</v>
      </c>
      <c r="Q70" s="33">
        <f t="shared" si="43"/>
        <v>0</v>
      </c>
      <c r="R70" s="23" t="e">
        <f t="shared" si="44"/>
        <v>#VALUE!</v>
      </c>
      <c r="S70" s="8" t="e">
        <f t="shared" si="45"/>
        <v>#VALUE!</v>
      </c>
    </row>
    <row r="71" spans="1:19" ht="24" customHeight="1" x14ac:dyDescent="0.25">
      <c r="A71" s="4"/>
      <c r="B71" s="5"/>
      <c r="C71" s="5"/>
      <c r="D71" s="6">
        <f t="shared" si="0"/>
        <v>0</v>
      </c>
      <c r="E71" s="43">
        <f t="shared" si="31"/>
        <v>0</v>
      </c>
      <c r="F71" s="20">
        <f t="shared" si="32"/>
        <v>0</v>
      </c>
      <c r="G71" s="21">
        <f t="shared" si="33"/>
        <v>0</v>
      </c>
      <c r="H71" s="7" t="str">
        <f t="shared" si="34"/>
        <v/>
      </c>
      <c r="I71" s="9">
        <f t="shared" si="35"/>
        <v>0</v>
      </c>
      <c r="J71" s="9">
        <f t="shared" si="36"/>
        <v>0</v>
      </c>
      <c r="K71" s="9">
        <f t="shared" si="37"/>
        <v>0</v>
      </c>
      <c r="L71" s="40">
        <f t="shared" si="38"/>
        <v>0</v>
      </c>
      <c r="M71" s="9" t="str">
        <f t="shared" si="39"/>
        <v/>
      </c>
      <c r="N71" s="9" t="str">
        <f t="shared" si="40"/>
        <v/>
      </c>
      <c r="O71" s="40" t="e">
        <f t="shared" si="41"/>
        <v>#VALUE!</v>
      </c>
      <c r="P71" s="41">
        <f t="shared" si="42"/>
        <v>0</v>
      </c>
      <c r="Q71" s="33">
        <f t="shared" si="43"/>
        <v>0</v>
      </c>
      <c r="R71" s="23" t="e">
        <f t="shared" si="44"/>
        <v>#VALUE!</v>
      </c>
      <c r="S71" s="8" t="e">
        <f t="shared" si="45"/>
        <v>#VALUE!</v>
      </c>
    </row>
    <row r="72" spans="1:19" ht="24" customHeight="1" x14ac:dyDescent="0.25">
      <c r="A72" s="4"/>
      <c r="B72" s="5"/>
      <c r="C72" s="5"/>
      <c r="D72" s="6">
        <f t="shared" si="0"/>
        <v>0</v>
      </c>
      <c r="E72" s="43">
        <f t="shared" si="31"/>
        <v>0</v>
      </c>
      <c r="F72" s="20">
        <f t="shared" si="32"/>
        <v>0</v>
      </c>
      <c r="G72" s="21">
        <f t="shared" si="33"/>
        <v>0</v>
      </c>
      <c r="H72" s="7" t="str">
        <f t="shared" si="34"/>
        <v/>
      </c>
      <c r="I72" s="9">
        <f t="shared" si="35"/>
        <v>0</v>
      </c>
      <c r="J72" s="9">
        <f t="shared" si="36"/>
        <v>0</v>
      </c>
      <c r="K72" s="9">
        <f t="shared" si="37"/>
        <v>0</v>
      </c>
      <c r="L72" s="40">
        <f t="shared" si="38"/>
        <v>0</v>
      </c>
      <c r="M72" s="9" t="str">
        <f t="shared" si="39"/>
        <v/>
      </c>
      <c r="N72" s="9" t="str">
        <f t="shared" si="40"/>
        <v/>
      </c>
      <c r="O72" s="40" t="e">
        <f t="shared" si="41"/>
        <v>#VALUE!</v>
      </c>
      <c r="P72" s="41">
        <f t="shared" si="42"/>
        <v>0</v>
      </c>
      <c r="Q72" s="33">
        <f t="shared" si="43"/>
        <v>0</v>
      </c>
      <c r="R72" s="23" t="e">
        <f t="shared" si="44"/>
        <v>#VALUE!</v>
      </c>
      <c r="S72" s="8" t="e">
        <f t="shared" si="45"/>
        <v>#VALUE!</v>
      </c>
    </row>
    <row r="73" spans="1:19" ht="24" customHeight="1" x14ac:dyDescent="0.25">
      <c r="A73" s="4"/>
      <c r="B73" s="5"/>
      <c r="C73" s="5"/>
      <c r="D73" s="6">
        <f t="shared" si="0"/>
        <v>0</v>
      </c>
      <c r="E73" s="43">
        <f t="shared" si="31"/>
        <v>0</v>
      </c>
      <c r="F73" s="20">
        <f t="shared" si="32"/>
        <v>0</v>
      </c>
      <c r="G73" s="21">
        <f t="shared" si="33"/>
        <v>0</v>
      </c>
      <c r="H73" s="7" t="str">
        <f t="shared" si="34"/>
        <v/>
      </c>
      <c r="I73" s="9">
        <f t="shared" si="35"/>
        <v>0</v>
      </c>
      <c r="J73" s="9">
        <f t="shared" si="36"/>
        <v>0</v>
      </c>
      <c r="K73" s="9">
        <f t="shared" si="37"/>
        <v>0</v>
      </c>
      <c r="L73" s="40">
        <f t="shared" si="38"/>
        <v>0</v>
      </c>
      <c r="M73" s="9" t="str">
        <f t="shared" si="39"/>
        <v/>
      </c>
      <c r="N73" s="9" t="str">
        <f t="shared" si="40"/>
        <v/>
      </c>
      <c r="O73" s="40" t="e">
        <f t="shared" si="41"/>
        <v>#VALUE!</v>
      </c>
      <c r="P73" s="41">
        <f t="shared" si="42"/>
        <v>0</v>
      </c>
      <c r="Q73" s="33">
        <f t="shared" si="43"/>
        <v>0</v>
      </c>
      <c r="R73" s="23" t="e">
        <f t="shared" si="44"/>
        <v>#VALUE!</v>
      </c>
      <c r="S73" s="8" t="e">
        <f t="shared" si="45"/>
        <v>#VALUE!</v>
      </c>
    </row>
    <row r="74" spans="1:19" ht="24" customHeight="1" x14ac:dyDescent="0.25">
      <c r="A74" s="4"/>
      <c r="B74" s="5"/>
      <c r="C74" s="5"/>
      <c r="D74" s="6">
        <f t="shared" si="0"/>
        <v>0</v>
      </c>
      <c r="E74" s="43">
        <f t="shared" si="31"/>
        <v>0</v>
      </c>
      <c r="F74" s="20">
        <f t="shared" si="32"/>
        <v>0</v>
      </c>
      <c r="G74" s="21">
        <f t="shared" si="33"/>
        <v>0</v>
      </c>
      <c r="H74" s="7" t="str">
        <f t="shared" si="34"/>
        <v/>
      </c>
      <c r="I74" s="9">
        <f t="shared" si="35"/>
        <v>0</v>
      </c>
      <c r="J74" s="9">
        <f t="shared" si="36"/>
        <v>0</v>
      </c>
      <c r="K74" s="9">
        <f t="shared" si="37"/>
        <v>0</v>
      </c>
      <c r="L74" s="40">
        <f t="shared" si="38"/>
        <v>0</v>
      </c>
      <c r="M74" s="9" t="str">
        <f t="shared" si="39"/>
        <v/>
      </c>
      <c r="N74" s="9" t="str">
        <f t="shared" si="40"/>
        <v/>
      </c>
      <c r="O74" s="40" t="e">
        <f t="shared" si="41"/>
        <v>#VALUE!</v>
      </c>
      <c r="P74" s="41">
        <f t="shared" si="42"/>
        <v>0</v>
      </c>
      <c r="Q74" s="33">
        <f t="shared" si="43"/>
        <v>0</v>
      </c>
      <c r="R74" s="23" t="e">
        <f t="shared" si="44"/>
        <v>#VALUE!</v>
      </c>
      <c r="S74" s="8" t="e">
        <f t="shared" si="45"/>
        <v>#VALUE!</v>
      </c>
    </row>
    <row r="75" spans="1:19" ht="24" customHeight="1" x14ac:dyDescent="0.25">
      <c r="A75" s="4"/>
      <c r="B75" s="5"/>
      <c r="C75" s="5"/>
      <c r="D75" s="6">
        <f t="shared" si="0"/>
        <v>0</v>
      </c>
      <c r="E75" s="43">
        <f t="shared" si="31"/>
        <v>0</v>
      </c>
      <c r="F75" s="20">
        <f t="shared" si="32"/>
        <v>0</v>
      </c>
      <c r="G75" s="21">
        <f t="shared" si="33"/>
        <v>0</v>
      </c>
      <c r="H75" s="7" t="str">
        <f t="shared" si="34"/>
        <v/>
      </c>
      <c r="I75" s="9">
        <f t="shared" si="35"/>
        <v>0</v>
      </c>
      <c r="J75" s="9">
        <f t="shared" si="36"/>
        <v>0</v>
      </c>
      <c r="K75" s="9">
        <f t="shared" si="37"/>
        <v>0</v>
      </c>
      <c r="L75" s="40">
        <f t="shared" si="38"/>
        <v>0</v>
      </c>
      <c r="M75" s="9" t="str">
        <f t="shared" si="39"/>
        <v/>
      </c>
      <c r="N75" s="9" t="str">
        <f t="shared" si="40"/>
        <v/>
      </c>
      <c r="O75" s="40" t="e">
        <f t="shared" si="41"/>
        <v>#VALUE!</v>
      </c>
      <c r="P75" s="41">
        <f t="shared" si="42"/>
        <v>0</v>
      </c>
      <c r="Q75" s="33">
        <f t="shared" si="43"/>
        <v>0</v>
      </c>
      <c r="R75" s="23" t="e">
        <f t="shared" si="44"/>
        <v>#VALUE!</v>
      </c>
      <c r="S75" s="8" t="e">
        <f t="shared" si="45"/>
        <v>#VALUE!</v>
      </c>
    </row>
    <row r="76" spans="1:19" ht="24" customHeight="1" x14ac:dyDescent="0.25">
      <c r="A76" s="4"/>
      <c r="B76" s="5"/>
      <c r="C76" s="5"/>
      <c r="D76" s="6">
        <f t="shared" si="0"/>
        <v>0</v>
      </c>
      <c r="E76" s="43">
        <f t="shared" si="31"/>
        <v>0</v>
      </c>
      <c r="F76" s="20">
        <f t="shared" si="32"/>
        <v>0</v>
      </c>
      <c r="G76" s="21">
        <f t="shared" si="33"/>
        <v>0</v>
      </c>
      <c r="H76" s="7" t="str">
        <f t="shared" si="34"/>
        <v/>
      </c>
      <c r="I76" s="9">
        <f t="shared" si="35"/>
        <v>0</v>
      </c>
      <c r="J76" s="9">
        <f t="shared" si="36"/>
        <v>0</v>
      </c>
      <c r="K76" s="9">
        <f t="shared" si="37"/>
        <v>0</v>
      </c>
      <c r="L76" s="40">
        <f t="shared" si="38"/>
        <v>0</v>
      </c>
      <c r="M76" s="9" t="str">
        <f t="shared" si="39"/>
        <v/>
      </c>
      <c r="N76" s="9" t="str">
        <f t="shared" si="40"/>
        <v/>
      </c>
      <c r="O76" s="40" t="e">
        <f t="shared" si="41"/>
        <v>#VALUE!</v>
      </c>
      <c r="P76" s="41">
        <f t="shared" si="42"/>
        <v>0</v>
      </c>
      <c r="Q76" s="33">
        <f t="shared" si="43"/>
        <v>0</v>
      </c>
      <c r="R76" s="23" t="e">
        <f t="shared" si="44"/>
        <v>#VALUE!</v>
      </c>
      <c r="S76" s="8" t="e">
        <f t="shared" si="45"/>
        <v>#VALUE!</v>
      </c>
    </row>
    <row r="77" spans="1:19" ht="24" customHeight="1" x14ac:dyDescent="0.25">
      <c r="A77" s="4"/>
      <c r="B77" s="5"/>
      <c r="C77" s="5"/>
      <c r="D77" s="6">
        <f t="shared" si="0"/>
        <v>0</v>
      </c>
      <c r="E77" s="43">
        <f t="shared" si="31"/>
        <v>0</v>
      </c>
      <c r="F77" s="20">
        <f t="shared" si="32"/>
        <v>0</v>
      </c>
      <c r="G77" s="21">
        <f t="shared" si="33"/>
        <v>0</v>
      </c>
      <c r="H77" s="7" t="str">
        <f t="shared" si="34"/>
        <v/>
      </c>
      <c r="I77" s="9">
        <f t="shared" si="35"/>
        <v>0</v>
      </c>
      <c r="J77" s="9">
        <f t="shared" si="36"/>
        <v>0</v>
      </c>
      <c r="K77" s="9">
        <f t="shared" si="37"/>
        <v>0</v>
      </c>
      <c r="L77" s="40">
        <f t="shared" si="38"/>
        <v>0</v>
      </c>
      <c r="M77" s="9" t="str">
        <f t="shared" si="39"/>
        <v/>
      </c>
      <c r="N77" s="9" t="str">
        <f t="shared" si="40"/>
        <v/>
      </c>
      <c r="O77" s="40" t="e">
        <f t="shared" si="41"/>
        <v>#VALUE!</v>
      </c>
      <c r="P77" s="41">
        <f t="shared" si="42"/>
        <v>0</v>
      </c>
      <c r="Q77" s="33">
        <f t="shared" si="43"/>
        <v>0</v>
      </c>
      <c r="R77" s="23" t="e">
        <f t="shared" si="44"/>
        <v>#VALUE!</v>
      </c>
      <c r="S77" s="8" t="e">
        <f t="shared" si="45"/>
        <v>#VALUE!</v>
      </c>
    </row>
    <row r="78" spans="1:19" ht="24" customHeight="1" x14ac:dyDescent="0.25">
      <c r="A78" s="4"/>
      <c r="B78" s="5"/>
      <c r="C78" s="5"/>
      <c r="D78" s="6">
        <f t="shared" si="0"/>
        <v>0</v>
      </c>
      <c r="E78" s="43">
        <f t="shared" si="31"/>
        <v>0</v>
      </c>
      <c r="F78" s="20">
        <f t="shared" si="32"/>
        <v>0</v>
      </c>
      <c r="G78" s="21">
        <f t="shared" si="33"/>
        <v>0</v>
      </c>
      <c r="H78" s="7" t="str">
        <f t="shared" si="34"/>
        <v/>
      </c>
      <c r="I78" s="9">
        <f t="shared" si="35"/>
        <v>0</v>
      </c>
      <c r="J78" s="9">
        <f t="shared" si="36"/>
        <v>0</v>
      </c>
      <c r="K78" s="9">
        <f t="shared" si="37"/>
        <v>0</v>
      </c>
      <c r="L78" s="40">
        <f t="shared" si="38"/>
        <v>0</v>
      </c>
      <c r="M78" s="9" t="str">
        <f t="shared" si="39"/>
        <v/>
      </c>
      <c r="N78" s="9" t="str">
        <f t="shared" si="40"/>
        <v/>
      </c>
      <c r="O78" s="40" t="e">
        <f t="shared" si="41"/>
        <v>#VALUE!</v>
      </c>
      <c r="P78" s="41">
        <f t="shared" si="42"/>
        <v>0</v>
      </c>
      <c r="Q78" s="33">
        <f t="shared" si="43"/>
        <v>0</v>
      </c>
      <c r="R78" s="23" t="e">
        <f t="shared" si="44"/>
        <v>#VALUE!</v>
      </c>
      <c r="S78" s="8" t="e">
        <f t="shared" si="45"/>
        <v>#VALUE!</v>
      </c>
    </row>
    <row r="79" spans="1:19" ht="24" customHeight="1" x14ac:dyDescent="0.25">
      <c r="A79" s="4"/>
      <c r="B79" s="5"/>
      <c r="C79" s="5"/>
      <c r="D79" s="6">
        <f t="shared" si="0"/>
        <v>0</v>
      </c>
      <c r="E79" s="43">
        <f t="shared" si="31"/>
        <v>0</v>
      </c>
      <c r="F79" s="20">
        <f t="shared" si="32"/>
        <v>0</v>
      </c>
      <c r="G79" s="21">
        <f t="shared" si="33"/>
        <v>0</v>
      </c>
      <c r="H79" s="7" t="str">
        <f t="shared" si="34"/>
        <v/>
      </c>
      <c r="I79" s="9">
        <f t="shared" si="35"/>
        <v>0</v>
      </c>
      <c r="J79" s="9">
        <f t="shared" si="36"/>
        <v>0</v>
      </c>
      <c r="K79" s="9">
        <f t="shared" si="37"/>
        <v>0</v>
      </c>
      <c r="L79" s="40">
        <f t="shared" si="38"/>
        <v>0</v>
      </c>
      <c r="M79" s="9" t="str">
        <f t="shared" si="39"/>
        <v/>
      </c>
      <c r="N79" s="9" t="str">
        <f t="shared" si="40"/>
        <v/>
      </c>
      <c r="O79" s="40" t="e">
        <f t="shared" si="41"/>
        <v>#VALUE!</v>
      </c>
      <c r="P79" s="41">
        <f t="shared" si="42"/>
        <v>0</v>
      </c>
      <c r="Q79" s="33">
        <f t="shared" si="43"/>
        <v>0</v>
      </c>
      <c r="R79" s="23" t="e">
        <f t="shared" si="44"/>
        <v>#VALUE!</v>
      </c>
      <c r="S79" s="8" t="e">
        <f t="shared" si="45"/>
        <v>#VALUE!</v>
      </c>
    </row>
    <row r="80" spans="1:19" ht="24" customHeight="1" x14ac:dyDescent="0.25">
      <c r="A80" s="4"/>
      <c r="B80" s="5"/>
      <c r="C80" s="5"/>
      <c r="D80" s="6">
        <f t="shared" si="0"/>
        <v>0</v>
      </c>
      <c r="E80" s="43">
        <f t="shared" si="31"/>
        <v>0</v>
      </c>
      <c r="F80" s="20">
        <f t="shared" si="32"/>
        <v>0</v>
      </c>
      <c r="G80" s="21">
        <f t="shared" si="33"/>
        <v>0</v>
      </c>
      <c r="H80" s="7" t="str">
        <f t="shared" si="34"/>
        <v/>
      </c>
      <c r="I80" s="9">
        <f t="shared" si="35"/>
        <v>0</v>
      </c>
      <c r="J80" s="9">
        <f t="shared" si="36"/>
        <v>0</v>
      </c>
      <c r="K80" s="9">
        <f t="shared" si="37"/>
        <v>0</v>
      </c>
      <c r="L80" s="40">
        <f t="shared" si="38"/>
        <v>0</v>
      </c>
      <c r="M80" s="9" t="str">
        <f t="shared" si="39"/>
        <v/>
      </c>
      <c r="N80" s="9" t="str">
        <f t="shared" si="40"/>
        <v/>
      </c>
      <c r="O80" s="40" t="e">
        <f t="shared" si="41"/>
        <v>#VALUE!</v>
      </c>
      <c r="P80" s="41">
        <f t="shared" si="42"/>
        <v>0</v>
      </c>
      <c r="Q80" s="33">
        <f t="shared" si="43"/>
        <v>0</v>
      </c>
      <c r="R80" s="23" t="e">
        <f t="shared" si="44"/>
        <v>#VALUE!</v>
      </c>
      <c r="S80" s="8" t="e">
        <f t="shared" si="45"/>
        <v>#VALUE!</v>
      </c>
    </row>
    <row r="81" spans="1:19" ht="24" customHeight="1" x14ac:dyDescent="0.25">
      <c r="A81" s="4"/>
      <c r="B81" s="5"/>
      <c r="C81" s="5"/>
      <c r="D81" s="6">
        <f t="shared" si="0"/>
        <v>0</v>
      </c>
      <c r="E81" s="43">
        <f t="shared" si="31"/>
        <v>0</v>
      </c>
      <c r="F81" s="20">
        <f t="shared" si="32"/>
        <v>0</v>
      </c>
      <c r="G81" s="21">
        <f t="shared" si="33"/>
        <v>0</v>
      </c>
      <c r="H81" s="7" t="str">
        <f t="shared" si="34"/>
        <v/>
      </c>
      <c r="I81" s="9">
        <f t="shared" si="35"/>
        <v>0</v>
      </c>
      <c r="J81" s="9">
        <f t="shared" si="36"/>
        <v>0</v>
      </c>
      <c r="K81" s="9">
        <f t="shared" si="37"/>
        <v>0</v>
      </c>
      <c r="L81" s="40">
        <f t="shared" si="38"/>
        <v>0</v>
      </c>
      <c r="M81" s="9" t="str">
        <f t="shared" si="39"/>
        <v/>
      </c>
      <c r="N81" s="9" t="str">
        <f t="shared" si="40"/>
        <v/>
      </c>
      <c r="O81" s="40" t="e">
        <f t="shared" si="41"/>
        <v>#VALUE!</v>
      </c>
      <c r="P81" s="41">
        <f t="shared" si="42"/>
        <v>0</v>
      </c>
      <c r="Q81" s="33">
        <f t="shared" si="43"/>
        <v>0</v>
      </c>
      <c r="R81" s="23" t="e">
        <f t="shared" si="44"/>
        <v>#VALUE!</v>
      </c>
      <c r="S81" s="8" t="e">
        <f t="shared" si="45"/>
        <v>#VALUE!</v>
      </c>
    </row>
    <row r="82" spans="1:19" ht="24" customHeight="1" x14ac:dyDescent="0.25">
      <c r="A82" s="4"/>
      <c r="B82" s="5"/>
      <c r="C82" s="5"/>
      <c r="D82" s="6">
        <f t="shared" si="0"/>
        <v>0</v>
      </c>
      <c r="E82" s="43">
        <f t="shared" si="31"/>
        <v>0</v>
      </c>
      <c r="F82" s="20">
        <f t="shared" si="32"/>
        <v>0</v>
      </c>
      <c r="G82" s="21">
        <f t="shared" si="33"/>
        <v>0</v>
      </c>
      <c r="H82" s="7" t="str">
        <f t="shared" si="34"/>
        <v/>
      </c>
      <c r="I82" s="9">
        <f t="shared" si="35"/>
        <v>0</v>
      </c>
      <c r="J82" s="9">
        <f t="shared" si="36"/>
        <v>0</v>
      </c>
      <c r="K82" s="9">
        <f t="shared" si="37"/>
        <v>0</v>
      </c>
      <c r="L82" s="40">
        <f t="shared" si="38"/>
        <v>0</v>
      </c>
      <c r="M82" s="9" t="str">
        <f t="shared" si="39"/>
        <v/>
      </c>
      <c r="N82" s="9" t="str">
        <f t="shared" si="40"/>
        <v/>
      </c>
      <c r="O82" s="40" t="e">
        <f t="shared" si="41"/>
        <v>#VALUE!</v>
      </c>
      <c r="P82" s="41">
        <f t="shared" si="42"/>
        <v>0</v>
      </c>
      <c r="Q82" s="33">
        <f t="shared" si="43"/>
        <v>0</v>
      </c>
      <c r="R82" s="23" t="e">
        <f t="shared" si="44"/>
        <v>#VALUE!</v>
      </c>
      <c r="S82" s="8" t="e">
        <f t="shared" si="45"/>
        <v>#VALUE!</v>
      </c>
    </row>
    <row r="83" spans="1:19" ht="24" customHeight="1" x14ac:dyDescent="0.25">
      <c r="A83" s="4"/>
      <c r="B83" s="5"/>
      <c r="C83" s="5"/>
      <c r="D83" s="6">
        <f t="shared" si="0"/>
        <v>0</v>
      </c>
      <c r="E83" s="43">
        <f t="shared" si="31"/>
        <v>0</v>
      </c>
      <c r="F83" s="20">
        <f t="shared" si="32"/>
        <v>0</v>
      </c>
      <c r="G83" s="21">
        <f t="shared" si="33"/>
        <v>0</v>
      </c>
      <c r="H83" s="7" t="str">
        <f t="shared" si="34"/>
        <v/>
      </c>
      <c r="I83" s="9">
        <f t="shared" si="35"/>
        <v>0</v>
      </c>
      <c r="J83" s="9">
        <f t="shared" si="36"/>
        <v>0</v>
      </c>
      <c r="K83" s="9">
        <f t="shared" si="37"/>
        <v>0</v>
      </c>
      <c r="L83" s="40">
        <f t="shared" si="38"/>
        <v>0</v>
      </c>
      <c r="M83" s="9" t="str">
        <f t="shared" si="39"/>
        <v/>
      </c>
      <c r="N83" s="9" t="str">
        <f t="shared" si="40"/>
        <v/>
      </c>
      <c r="O83" s="40" t="e">
        <f t="shared" si="41"/>
        <v>#VALUE!</v>
      </c>
      <c r="P83" s="41">
        <f t="shared" si="42"/>
        <v>0</v>
      </c>
      <c r="Q83" s="33">
        <f t="shared" si="43"/>
        <v>0</v>
      </c>
      <c r="R83" s="23" t="e">
        <f t="shared" si="44"/>
        <v>#VALUE!</v>
      </c>
      <c r="S83" s="8" t="e">
        <f t="shared" si="45"/>
        <v>#VALUE!</v>
      </c>
    </row>
    <row r="84" spans="1:19" ht="24" customHeight="1" x14ac:dyDescent="0.25">
      <c r="A84" s="4"/>
      <c r="B84" s="5"/>
      <c r="C84" s="5"/>
      <c r="D84" s="6">
        <f t="shared" si="0"/>
        <v>0</v>
      </c>
      <c r="E84" s="43">
        <f t="shared" si="31"/>
        <v>0</v>
      </c>
      <c r="F84" s="20">
        <f t="shared" si="32"/>
        <v>0</v>
      </c>
      <c r="G84" s="21">
        <f t="shared" si="33"/>
        <v>0</v>
      </c>
      <c r="H84" s="7" t="str">
        <f t="shared" si="34"/>
        <v/>
      </c>
      <c r="I84" s="9">
        <f t="shared" si="35"/>
        <v>0</v>
      </c>
      <c r="J84" s="9">
        <f t="shared" si="36"/>
        <v>0</v>
      </c>
      <c r="K84" s="9">
        <f t="shared" si="37"/>
        <v>0</v>
      </c>
      <c r="L84" s="40">
        <f t="shared" si="38"/>
        <v>0</v>
      </c>
      <c r="M84" s="9" t="str">
        <f t="shared" si="39"/>
        <v/>
      </c>
      <c r="N84" s="9" t="str">
        <f t="shared" si="40"/>
        <v/>
      </c>
      <c r="O84" s="40" t="e">
        <f t="shared" si="41"/>
        <v>#VALUE!</v>
      </c>
      <c r="P84" s="41">
        <f t="shared" si="42"/>
        <v>0</v>
      </c>
      <c r="Q84" s="33">
        <f t="shared" si="43"/>
        <v>0</v>
      </c>
      <c r="R84" s="23" t="e">
        <f t="shared" si="44"/>
        <v>#VALUE!</v>
      </c>
      <c r="S84" s="8" t="e">
        <f t="shared" si="45"/>
        <v>#VALUE!</v>
      </c>
    </row>
    <row r="85" spans="1:19" ht="24" customHeight="1" x14ac:dyDescent="0.25">
      <c r="A85" s="4"/>
      <c r="B85" s="5"/>
      <c r="C85" s="5"/>
      <c r="D85" s="6">
        <f t="shared" si="0"/>
        <v>0</v>
      </c>
      <c r="E85" s="43">
        <f t="shared" si="31"/>
        <v>0</v>
      </c>
      <c r="F85" s="20">
        <f t="shared" si="32"/>
        <v>0</v>
      </c>
      <c r="G85" s="21">
        <f t="shared" si="33"/>
        <v>0</v>
      </c>
      <c r="H85" s="7" t="str">
        <f t="shared" si="34"/>
        <v/>
      </c>
      <c r="I85" s="9">
        <f t="shared" si="35"/>
        <v>0</v>
      </c>
      <c r="J85" s="9">
        <f t="shared" si="36"/>
        <v>0</v>
      </c>
      <c r="K85" s="9">
        <f t="shared" si="37"/>
        <v>0</v>
      </c>
      <c r="L85" s="40">
        <f t="shared" si="38"/>
        <v>0</v>
      </c>
      <c r="M85" s="9" t="str">
        <f t="shared" si="39"/>
        <v/>
      </c>
      <c r="N85" s="9" t="str">
        <f t="shared" si="40"/>
        <v/>
      </c>
      <c r="O85" s="40" t="e">
        <f t="shared" si="41"/>
        <v>#VALUE!</v>
      </c>
      <c r="P85" s="41">
        <f t="shared" si="42"/>
        <v>0</v>
      </c>
      <c r="Q85" s="33">
        <f t="shared" si="43"/>
        <v>0</v>
      </c>
      <c r="R85" s="23" t="e">
        <f t="shared" si="44"/>
        <v>#VALUE!</v>
      </c>
      <c r="S85" s="8" t="e">
        <f t="shared" si="45"/>
        <v>#VALUE!</v>
      </c>
    </row>
    <row r="86" spans="1:19" ht="24" customHeight="1" x14ac:dyDescent="0.25">
      <c r="A86" s="4"/>
      <c r="B86" s="5"/>
      <c r="C86" s="5"/>
      <c r="D86" s="6">
        <f t="shared" si="0"/>
        <v>0</v>
      </c>
      <c r="E86" s="43">
        <f t="shared" si="31"/>
        <v>0</v>
      </c>
      <c r="F86" s="20">
        <f t="shared" si="32"/>
        <v>0</v>
      </c>
      <c r="G86" s="21">
        <f t="shared" si="33"/>
        <v>0</v>
      </c>
      <c r="H86" s="7" t="str">
        <f t="shared" si="34"/>
        <v/>
      </c>
      <c r="I86" s="9">
        <f t="shared" si="35"/>
        <v>0</v>
      </c>
      <c r="J86" s="9">
        <f t="shared" si="36"/>
        <v>0</v>
      </c>
      <c r="K86" s="9">
        <f t="shared" si="37"/>
        <v>0</v>
      </c>
      <c r="L86" s="40">
        <f t="shared" si="38"/>
        <v>0</v>
      </c>
      <c r="M86" s="9" t="str">
        <f t="shared" si="39"/>
        <v/>
      </c>
      <c r="N86" s="9" t="str">
        <f t="shared" si="40"/>
        <v/>
      </c>
      <c r="O86" s="40" t="e">
        <f t="shared" si="41"/>
        <v>#VALUE!</v>
      </c>
      <c r="P86" s="41">
        <f t="shared" si="42"/>
        <v>0</v>
      </c>
      <c r="Q86" s="33">
        <f t="shared" si="43"/>
        <v>0</v>
      </c>
      <c r="R86" s="23" t="e">
        <f t="shared" si="44"/>
        <v>#VALUE!</v>
      </c>
      <c r="S86" s="8" t="e">
        <f t="shared" si="45"/>
        <v>#VALUE!</v>
      </c>
    </row>
    <row r="87" spans="1:19" ht="24" customHeight="1" x14ac:dyDescent="0.25">
      <c r="A87" s="4"/>
      <c r="B87" s="5"/>
      <c r="C87" s="5"/>
      <c r="D87" s="6">
        <f t="shared" si="0"/>
        <v>0</v>
      </c>
      <c r="E87" s="43">
        <f t="shared" si="31"/>
        <v>0</v>
      </c>
      <c r="F87" s="20">
        <f t="shared" si="32"/>
        <v>0</v>
      </c>
      <c r="G87" s="21">
        <f t="shared" si="33"/>
        <v>0</v>
      </c>
      <c r="H87" s="7" t="str">
        <f t="shared" si="34"/>
        <v/>
      </c>
      <c r="I87" s="9">
        <f t="shared" si="35"/>
        <v>0</v>
      </c>
      <c r="J87" s="9">
        <f t="shared" si="36"/>
        <v>0</v>
      </c>
      <c r="K87" s="9">
        <f t="shared" si="37"/>
        <v>0</v>
      </c>
      <c r="L87" s="40">
        <f t="shared" si="38"/>
        <v>0</v>
      </c>
      <c r="M87" s="9" t="str">
        <f t="shared" si="39"/>
        <v/>
      </c>
      <c r="N87" s="9" t="str">
        <f t="shared" si="40"/>
        <v/>
      </c>
      <c r="O87" s="40" t="e">
        <f t="shared" si="41"/>
        <v>#VALUE!</v>
      </c>
      <c r="P87" s="41">
        <f t="shared" si="42"/>
        <v>0</v>
      </c>
      <c r="Q87" s="33">
        <f t="shared" si="43"/>
        <v>0</v>
      </c>
      <c r="R87" s="23" t="e">
        <f t="shared" si="44"/>
        <v>#VALUE!</v>
      </c>
      <c r="S87" s="8" t="e">
        <f t="shared" si="45"/>
        <v>#VALUE!</v>
      </c>
    </row>
    <row r="88" spans="1:19" ht="24" customHeight="1" x14ac:dyDescent="0.25">
      <c r="A88" s="4"/>
      <c r="B88" s="5"/>
      <c r="C88" s="5"/>
      <c r="D88" s="6">
        <f t="shared" si="0"/>
        <v>0</v>
      </c>
      <c r="E88" s="43">
        <f t="shared" si="31"/>
        <v>0</v>
      </c>
      <c r="F88" s="20">
        <f t="shared" si="32"/>
        <v>0</v>
      </c>
      <c r="G88" s="21">
        <f t="shared" si="33"/>
        <v>0</v>
      </c>
      <c r="H88" s="7" t="str">
        <f t="shared" si="34"/>
        <v/>
      </c>
      <c r="I88" s="9">
        <f t="shared" si="35"/>
        <v>0</v>
      </c>
      <c r="J88" s="9">
        <f t="shared" si="36"/>
        <v>0</v>
      </c>
      <c r="K88" s="9">
        <f t="shared" si="37"/>
        <v>0</v>
      </c>
      <c r="L88" s="40">
        <f t="shared" si="38"/>
        <v>0</v>
      </c>
      <c r="M88" s="9" t="str">
        <f t="shared" si="39"/>
        <v/>
      </c>
      <c r="N88" s="9" t="str">
        <f t="shared" si="40"/>
        <v/>
      </c>
      <c r="O88" s="40" t="e">
        <f t="shared" si="41"/>
        <v>#VALUE!</v>
      </c>
      <c r="P88" s="41">
        <f t="shared" si="42"/>
        <v>0</v>
      </c>
      <c r="Q88" s="33">
        <f t="shared" si="43"/>
        <v>0</v>
      </c>
      <c r="R88" s="23" t="e">
        <f t="shared" si="44"/>
        <v>#VALUE!</v>
      </c>
      <c r="S88" s="8" t="e">
        <f t="shared" si="45"/>
        <v>#VALUE!</v>
      </c>
    </row>
    <row r="89" spans="1:19" ht="24" customHeight="1" x14ac:dyDescent="0.25">
      <c r="A89" s="4"/>
      <c r="B89" s="5"/>
      <c r="C89" s="5"/>
      <c r="D89" s="6">
        <f t="shared" si="0"/>
        <v>0</v>
      </c>
      <c r="E89" s="43">
        <f t="shared" si="31"/>
        <v>0</v>
      </c>
      <c r="F89" s="20">
        <f t="shared" si="32"/>
        <v>0</v>
      </c>
      <c r="G89" s="21">
        <f t="shared" si="33"/>
        <v>0</v>
      </c>
      <c r="H89" s="7" t="str">
        <f t="shared" si="34"/>
        <v/>
      </c>
      <c r="I89" s="9">
        <f t="shared" si="35"/>
        <v>0</v>
      </c>
      <c r="J89" s="9">
        <f t="shared" si="36"/>
        <v>0</v>
      </c>
      <c r="K89" s="9">
        <f t="shared" si="37"/>
        <v>0</v>
      </c>
      <c r="L89" s="40">
        <f t="shared" si="38"/>
        <v>0</v>
      </c>
      <c r="M89" s="9" t="str">
        <f t="shared" si="39"/>
        <v/>
      </c>
      <c r="N89" s="9" t="str">
        <f t="shared" si="40"/>
        <v/>
      </c>
      <c r="O89" s="40" t="e">
        <f t="shared" si="41"/>
        <v>#VALUE!</v>
      </c>
      <c r="P89" s="41">
        <f t="shared" si="42"/>
        <v>0</v>
      </c>
      <c r="Q89" s="33">
        <f t="shared" si="43"/>
        <v>0</v>
      </c>
      <c r="R89" s="23" t="e">
        <f t="shared" si="44"/>
        <v>#VALUE!</v>
      </c>
      <c r="S89" s="8" t="e">
        <f t="shared" si="45"/>
        <v>#VALUE!</v>
      </c>
    </row>
    <row r="90" spans="1:19" ht="24" customHeight="1" x14ac:dyDescent="0.25">
      <c r="A90" s="4"/>
      <c r="B90" s="5"/>
      <c r="C90" s="5"/>
      <c r="D90" s="6">
        <f t="shared" si="0"/>
        <v>0</v>
      </c>
      <c r="E90" s="43">
        <f t="shared" si="31"/>
        <v>0</v>
      </c>
      <c r="F90" s="20">
        <f t="shared" si="32"/>
        <v>0</v>
      </c>
      <c r="G90" s="21">
        <f t="shared" si="33"/>
        <v>0</v>
      </c>
      <c r="H90" s="7" t="str">
        <f t="shared" si="34"/>
        <v/>
      </c>
      <c r="I90" s="9">
        <f t="shared" si="35"/>
        <v>0</v>
      </c>
      <c r="J90" s="9">
        <f t="shared" si="36"/>
        <v>0</v>
      </c>
      <c r="K90" s="9">
        <f t="shared" si="37"/>
        <v>0</v>
      </c>
      <c r="L90" s="40">
        <f t="shared" si="38"/>
        <v>0</v>
      </c>
      <c r="M90" s="9" t="str">
        <f t="shared" si="39"/>
        <v/>
      </c>
      <c r="N90" s="9" t="str">
        <f t="shared" si="40"/>
        <v/>
      </c>
      <c r="O90" s="40" t="e">
        <f t="shared" si="41"/>
        <v>#VALUE!</v>
      </c>
      <c r="P90" s="41">
        <f t="shared" si="42"/>
        <v>0</v>
      </c>
      <c r="Q90" s="33">
        <f t="shared" si="43"/>
        <v>0</v>
      </c>
      <c r="R90" s="23" t="e">
        <f t="shared" si="44"/>
        <v>#VALUE!</v>
      </c>
      <c r="S90" s="8" t="e">
        <f t="shared" si="45"/>
        <v>#VALUE!</v>
      </c>
    </row>
    <row r="91" spans="1:19" ht="24" customHeight="1" x14ac:dyDescent="0.25">
      <c r="A91" s="4"/>
      <c r="B91" s="5"/>
      <c r="C91" s="5"/>
      <c r="D91" s="6">
        <f t="shared" si="0"/>
        <v>0</v>
      </c>
      <c r="E91" s="43">
        <f t="shared" si="31"/>
        <v>0</v>
      </c>
      <c r="F91" s="20">
        <f t="shared" si="32"/>
        <v>0</v>
      </c>
      <c r="G91" s="21">
        <f t="shared" si="33"/>
        <v>0</v>
      </c>
      <c r="H91" s="7" t="str">
        <f t="shared" si="34"/>
        <v/>
      </c>
      <c r="I91" s="9">
        <f t="shared" si="35"/>
        <v>0</v>
      </c>
      <c r="J91" s="9">
        <f t="shared" si="36"/>
        <v>0</v>
      </c>
      <c r="K91" s="9">
        <f t="shared" si="37"/>
        <v>0</v>
      </c>
      <c r="L91" s="40">
        <f t="shared" si="38"/>
        <v>0</v>
      </c>
      <c r="M91" s="9" t="str">
        <f t="shared" si="39"/>
        <v/>
      </c>
      <c r="N91" s="9" t="str">
        <f t="shared" si="40"/>
        <v/>
      </c>
      <c r="O91" s="40" t="e">
        <f t="shared" si="41"/>
        <v>#VALUE!</v>
      </c>
      <c r="P91" s="41">
        <f t="shared" si="42"/>
        <v>0</v>
      </c>
      <c r="Q91" s="33">
        <f t="shared" si="43"/>
        <v>0</v>
      </c>
      <c r="R91" s="23" t="e">
        <f t="shared" si="44"/>
        <v>#VALUE!</v>
      </c>
      <c r="S91" s="8" t="e">
        <f t="shared" si="45"/>
        <v>#VALUE!</v>
      </c>
    </row>
    <row r="92" spans="1:19" ht="24" customHeight="1" x14ac:dyDescent="0.25">
      <c r="A92" s="4"/>
      <c r="B92" s="5"/>
      <c r="C92" s="5"/>
      <c r="D92" s="6">
        <f t="shared" si="0"/>
        <v>0</v>
      </c>
      <c r="E92" s="43">
        <f t="shared" si="31"/>
        <v>0</v>
      </c>
      <c r="F92" s="20">
        <f t="shared" si="32"/>
        <v>0</v>
      </c>
      <c r="G92" s="21">
        <f t="shared" si="33"/>
        <v>0</v>
      </c>
      <c r="H92" s="7" t="str">
        <f t="shared" si="34"/>
        <v/>
      </c>
      <c r="I92" s="9">
        <f t="shared" si="35"/>
        <v>0</v>
      </c>
      <c r="J92" s="9">
        <f t="shared" si="36"/>
        <v>0</v>
      </c>
      <c r="K92" s="9">
        <f t="shared" si="37"/>
        <v>0</v>
      </c>
      <c r="L92" s="40">
        <f t="shared" si="38"/>
        <v>0</v>
      </c>
      <c r="M92" s="9" t="str">
        <f t="shared" si="39"/>
        <v/>
      </c>
      <c r="N92" s="9" t="str">
        <f t="shared" si="40"/>
        <v/>
      </c>
      <c r="O92" s="40" t="e">
        <f t="shared" si="41"/>
        <v>#VALUE!</v>
      </c>
      <c r="P92" s="41">
        <f t="shared" si="42"/>
        <v>0</v>
      </c>
      <c r="Q92" s="33">
        <f t="shared" si="43"/>
        <v>0</v>
      </c>
      <c r="R92" s="23" t="e">
        <f t="shared" si="44"/>
        <v>#VALUE!</v>
      </c>
      <c r="S92" s="8" t="e">
        <f t="shared" si="45"/>
        <v>#VALUE!</v>
      </c>
    </row>
    <row r="93" spans="1:19" ht="24" customHeight="1" x14ac:dyDescent="0.25">
      <c r="A93" s="4"/>
      <c r="B93" s="5"/>
      <c r="C93" s="5"/>
      <c r="D93" s="6">
        <f t="shared" si="0"/>
        <v>0</v>
      </c>
      <c r="E93" s="43">
        <f t="shared" si="31"/>
        <v>0</v>
      </c>
      <c r="F93" s="20">
        <f t="shared" si="32"/>
        <v>0</v>
      </c>
      <c r="G93" s="21">
        <f t="shared" si="33"/>
        <v>0</v>
      </c>
      <c r="H93" s="7" t="str">
        <f t="shared" si="34"/>
        <v/>
      </c>
      <c r="I93" s="9">
        <f t="shared" si="35"/>
        <v>0</v>
      </c>
      <c r="J93" s="9">
        <f t="shared" si="36"/>
        <v>0</v>
      </c>
      <c r="K93" s="9">
        <f t="shared" si="37"/>
        <v>0</v>
      </c>
      <c r="L93" s="40">
        <f t="shared" si="38"/>
        <v>0</v>
      </c>
      <c r="M93" s="9" t="str">
        <f t="shared" si="39"/>
        <v/>
      </c>
      <c r="N93" s="9" t="str">
        <f t="shared" si="40"/>
        <v/>
      </c>
      <c r="O93" s="40" t="e">
        <f t="shared" si="41"/>
        <v>#VALUE!</v>
      </c>
      <c r="P93" s="41">
        <f t="shared" si="42"/>
        <v>0</v>
      </c>
      <c r="Q93" s="33">
        <f t="shared" si="43"/>
        <v>0</v>
      </c>
      <c r="R93" s="23" t="e">
        <f t="shared" si="44"/>
        <v>#VALUE!</v>
      </c>
      <c r="S93" s="8" t="e">
        <f t="shared" si="45"/>
        <v>#VALUE!</v>
      </c>
    </row>
    <row r="94" spans="1:19" ht="24" customHeight="1" x14ac:dyDescent="0.25">
      <c r="A94" s="4"/>
      <c r="B94" s="5"/>
      <c r="C94" s="5"/>
      <c r="D94" s="6">
        <f t="shared" si="0"/>
        <v>0</v>
      </c>
      <c r="E94" s="43">
        <f t="shared" si="31"/>
        <v>0</v>
      </c>
      <c r="F94" s="20">
        <f t="shared" si="32"/>
        <v>0</v>
      </c>
      <c r="G94" s="21">
        <f t="shared" si="33"/>
        <v>0</v>
      </c>
      <c r="H94" s="7" t="str">
        <f t="shared" si="34"/>
        <v/>
      </c>
      <c r="I94" s="9">
        <f t="shared" si="35"/>
        <v>0</v>
      </c>
      <c r="J94" s="9">
        <f t="shared" si="36"/>
        <v>0</v>
      </c>
      <c r="K94" s="9">
        <f t="shared" si="37"/>
        <v>0</v>
      </c>
      <c r="L94" s="40">
        <f t="shared" si="38"/>
        <v>0</v>
      </c>
      <c r="M94" s="9" t="str">
        <f t="shared" si="39"/>
        <v/>
      </c>
      <c r="N94" s="9" t="str">
        <f t="shared" si="40"/>
        <v/>
      </c>
      <c r="O94" s="40" t="e">
        <f t="shared" si="41"/>
        <v>#VALUE!</v>
      </c>
      <c r="P94" s="41">
        <f t="shared" si="42"/>
        <v>0</v>
      </c>
      <c r="Q94" s="33">
        <f t="shared" si="43"/>
        <v>0</v>
      </c>
      <c r="R94" s="23" t="e">
        <f t="shared" si="44"/>
        <v>#VALUE!</v>
      </c>
      <c r="S94" s="8" t="e">
        <f t="shared" si="45"/>
        <v>#VALUE!</v>
      </c>
    </row>
    <row r="95" spans="1:19" ht="24" customHeight="1" x14ac:dyDescent="0.25">
      <c r="A95" s="4"/>
      <c r="B95" s="5"/>
      <c r="C95" s="5"/>
      <c r="D95" s="6">
        <f t="shared" si="0"/>
        <v>0</v>
      </c>
      <c r="E95" s="43">
        <f t="shared" si="31"/>
        <v>0</v>
      </c>
      <c r="F95" s="20">
        <f t="shared" si="32"/>
        <v>0</v>
      </c>
      <c r="G95" s="21">
        <f t="shared" si="33"/>
        <v>0</v>
      </c>
      <c r="H95" s="7" t="str">
        <f t="shared" si="34"/>
        <v/>
      </c>
      <c r="I95" s="9">
        <f t="shared" si="35"/>
        <v>0</v>
      </c>
      <c r="J95" s="9">
        <f t="shared" si="36"/>
        <v>0</v>
      </c>
      <c r="K95" s="9">
        <f t="shared" si="37"/>
        <v>0</v>
      </c>
      <c r="L95" s="40">
        <f t="shared" si="38"/>
        <v>0</v>
      </c>
      <c r="M95" s="9" t="str">
        <f t="shared" si="39"/>
        <v/>
      </c>
      <c r="N95" s="9" t="str">
        <f t="shared" si="40"/>
        <v/>
      </c>
      <c r="O95" s="40" t="e">
        <f t="shared" si="41"/>
        <v>#VALUE!</v>
      </c>
      <c r="P95" s="41">
        <f t="shared" si="42"/>
        <v>0</v>
      </c>
      <c r="Q95" s="33">
        <f t="shared" si="43"/>
        <v>0</v>
      </c>
      <c r="R95" s="23" t="e">
        <f t="shared" si="44"/>
        <v>#VALUE!</v>
      </c>
      <c r="S95" s="8" t="e">
        <f t="shared" si="45"/>
        <v>#VALUE!</v>
      </c>
    </row>
    <row r="96" spans="1:19" ht="24" customHeight="1" x14ac:dyDescent="0.25">
      <c r="A96" s="4"/>
      <c r="B96" s="5"/>
      <c r="C96" s="5"/>
      <c r="D96" s="6">
        <f t="shared" si="0"/>
        <v>0</v>
      </c>
      <c r="E96" s="43">
        <f t="shared" si="31"/>
        <v>0</v>
      </c>
      <c r="F96" s="20">
        <f t="shared" si="32"/>
        <v>0</v>
      </c>
      <c r="G96" s="21">
        <f t="shared" si="33"/>
        <v>0</v>
      </c>
      <c r="H96" s="7" t="str">
        <f t="shared" si="34"/>
        <v/>
      </c>
      <c r="I96" s="9">
        <f t="shared" si="35"/>
        <v>0</v>
      </c>
      <c r="J96" s="9">
        <f t="shared" si="36"/>
        <v>0</v>
      </c>
      <c r="K96" s="9">
        <f t="shared" si="37"/>
        <v>0</v>
      </c>
      <c r="L96" s="40">
        <f t="shared" si="38"/>
        <v>0</v>
      </c>
      <c r="M96" s="9" t="str">
        <f t="shared" si="39"/>
        <v/>
      </c>
      <c r="N96" s="9" t="str">
        <f t="shared" si="40"/>
        <v/>
      </c>
      <c r="O96" s="40" t="e">
        <f t="shared" si="41"/>
        <v>#VALUE!</v>
      </c>
      <c r="P96" s="41">
        <f t="shared" si="42"/>
        <v>0</v>
      </c>
      <c r="Q96" s="33">
        <f t="shared" si="43"/>
        <v>0</v>
      </c>
      <c r="R96" s="23" t="e">
        <f t="shared" si="44"/>
        <v>#VALUE!</v>
      </c>
      <c r="S96" s="8" t="e">
        <f t="shared" si="45"/>
        <v>#VALUE!</v>
      </c>
    </row>
    <row r="97" spans="1:19" ht="24" customHeight="1" x14ac:dyDescent="0.25">
      <c r="A97" s="4"/>
      <c r="B97" s="5"/>
      <c r="C97" s="5"/>
      <c r="D97" s="6">
        <f t="shared" si="0"/>
        <v>0</v>
      </c>
      <c r="E97" s="43">
        <f t="shared" si="31"/>
        <v>0</v>
      </c>
      <c r="F97" s="20">
        <f t="shared" si="32"/>
        <v>0</v>
      </c>
      <c r="G97" s="21">
        <f t="shared" si="33"/>
        <v>0</v>
      </c>
      <c r="H97" s="7" t="str">
        <f t="shared" si="34"/>
        <v/>
      </c>
      <c r="I97" s="9">
        <f t="shared" si="35"/>
        <v>0</v>
      </c>
      <c r="J97" s="9">
        <f t="shared" si="36"/>
        <v>0</v>
      </c>
      <c r="K97" s="9">
        <f t="shared" si="37"/>
        <v>0</v>
      </c>
      <c r="L97" s="40">
        <f t="shared" si="38"/>
        <v>0</v>
      </c>
      <c r="M97" s="9" t="str">
        <f t="shared" si="39"/>
        <v/>
      </c>
      <c r="N97" s="9" t="str">
        <f t="shared" si="40"/>
        <v/>
      </c>
      <c r="O97" s="40" t="e">
        <f t="shared" si="41"/>
        <v>#VALUE!</v>
      </c>
      <c r="P97" s="41">
        <f t="shared" si="42"/>
        <v>0</v>
      </c>
      <c r="Q97" s="33">
        <f t="shared" si="43"/>
        <v>0</v>
      </c>
      <c r="R97" s="23" t="e">
        <f t="shared" si="44"/>
        <v>#VALUE!</v>
      </c>
      <c r="S97" s="8" t="e">
        <f t="shared" si="45"/>
        <v>#VALUE!</v>
      </c>
    </row>
    <row r="98" spans="1:19" ht="24" customHeight="1" x14ac:dyDescent="0.25">
      <c r="A98" s="4"/>
      <c r="B98" s="5"/>
      <c r="C98" s="5"/>
      <c r="D98" s="6">
        <f t="shared" si="0"/>
        <v>0</v>
      </c>
      <c r="E98" s="43">
        <f t="shared" si="31"/>
        <v>0</v>
      </c>
      <c r="F98" s="20">
        <f t="shared" si="32"/>
        <v>0</v>
      </c>
      <c r="G98" s="21">
        <f t="shared" si="33"/>
        <v>0</v>
      </c>
      <c r="H98" s="7" t="str">
        <f t="shared" si="34"/>
        <v/>
      </c>
      <c r="I98" s="9">
        <f t="shared" si="35"/>
        <v>0</v>
      </c>
      <c r="J98" s="9">
        <f t="shared" si="36"/>
        <v>0</v>
      </c>
      <c r="K98" s="9">
        <f t="shared" si="37"/>
        <v>0</v>
      </c>
      <c r="L98" s="40">
        <f t="shared" si="38"/>
        <v>0</v>
      </c>
      <c r="M98" s="9" t="str">
        <f t="shared" si="39"/>
        <v/>
      </c>
      <c r="N98" s="9" t="str">
        <f t="shared" si="40"/>
        <v/>
      </c>
      <c r="O98" s="40" t="e">
        <f t="shared" si="41"/>
        <v>#VALUE!</v>
      </c>
      <c r="P98" s="41">
        <f t="shared" si="42"/>
        <v>0</v>
      </c>
      <c r="Q98" s="33">
        <f t="shared" si="43"/>
        <v>0</v>
      </c>
      <c r="R98" s="23" t="e">
        <f t="shared" si="44"/>
        <v>#VALUE!</v>
      </c>
      <c r="S98" s="8" t="e">
        <f t="shared" si="45"/>
        <v>#VALUE!</v>
      </c>
    </row>
    <row r="99" spans="1:19" ht="24" customHeight="1" x14ac:dyDescent="0.25">
      <c r="A99" s="4"/>
      <c r="B99" s="5"/>
      <c r="C99" s="5"/>
      <c r="D99" s="6">
        <f t="shared" si="0"/>
        <v>0</v>
      </c>
      <c r="E99" s="43">
        <f t="shared" ref="E99:E107" si="46">(A99+B99)*2*C99/9.29*1.2/21</f>
        <v>0</v>
      </c>
      <c r="F99" s="20">
        <f t="shared" ref="F99:F107" si="47">(A99+B99)*2*C99/9.29*1.2/10.76</f>
        <v>0</v>
      </c>
      <c r="G99" s="21">
        <f t="shared" ref="G99:G107" si="48">(A99+B99)*2*C99/9.29*1.2</f>
        <v>0</v>
      </c>
      <c r="H99" s="7" t="str">
        <f t="shared" ref="H99:H107" si="49">IF(A99=0,"",IF(A99&lt;31,"26#",IF(A99&lt;76,"24#",IF(A99&lt;151,"22#",IF(A99&lt;225,"20#",IF(A99&lt;300,"18#"))))))</f>
        <v/>
      </c>
      <c r="I99" s="9">
        <f t="shared" ref="I99:I107" si="50">((A99+B99)*2*7.85*C99)/100</f>
        <v>0</v>
      </c>
      <c r="J99" s="9">
        <f t="shared" ref="J99:J107" si="51">(C99/1.2)*8</f>
        <v>0</v>
      </c>
      <c r="K99" s="9">
        <f t="shared" ref="K99:K107" si="52">(((A99+B99)*2)/15)*D99</f>
        <v>0</v>
      </c>
      <c r="L99" s="40">
        <f t="shared" ref="L99:L107" si="53">(((A99+B99)*2)*D99)/100</f>
        <v>0</v>
      </c>
      <c r="M99" s="9" t="str">
        <f t="shared" ref="M99:M107" si="54">IF(A99=0,"",IF(A99&lt;75,"0",IF(A99&lt;150,"1",IF(A99&lt;300,"2",IF(A99&lt;450,"3")))))</f>
        <v/>
      </c>
      <c r="N99" s="9" t="str">
        <f t="shared" ref="N99:N107" si="55">IF(B99=0,"",IF(B99&lt;75,"0",IF(B99&lt;150,"1",IF(B99&lt;300,"2"))))</f>
        <v/>
      </c>
      <c r="O99" s="40" t="e">
        <f t="shared" ref="O99:O107" si="56">(((B99/100)*M99)+((A99/100)*N99))*D99</f>
        <v>#VALUE!</v>
      </c>
      <c r="P99" s="41">
        <f t="shared" ref="P99:P107" si="57">(C99/2.2)*((A99+10)/100)</f>
        <v>0</v>
      </c>
      <c r="Q99" s="33">
        <f t="shared" ref="Q99:Q107" si="58">C99/2.2</f>
        <v>0</v>
      </c>
      <c r="R99" s="23" t="e">
        <f t="shared" ref="R99:R107" si="59">(M99*N99)*D99</f>
        <v>#VALUE!</v>
      </c>
      <c r="S99" s="8" t="e">
        <f t="shared" ref="S99:S107" si="60">((M99+N99)*4)*D99</f>
        <v>#VALUE!</v>
      </c>
    </row>
    <row r="100" spans="1:19" ht="24" customHeight="1" x14ac:dyDescent="0.25">
      <c r="A100" s="4"/>
      <c r="B100" s="5"/>
      <c r="C100" s="5"/>
      <c r="D100" s="6">
        <f t="shared" si="0"/>
        <v>0</v>
      </c>
      <c r="E100" s="43">
        <f t="shared" si="46"/>
        <v>0</v>
      </c>
      <c r="F100" s="20">
        <f t="shared" si="47"/>
        <v>0</v>
      </c>
      <c r="G100" s="21">
        <f t="shared" si="48"/>
        <v>0</v>
      </c>
      <c r="H100" s="7" t="str">
        <f t="shared" si="49"/>
        <v/>
      </c>
      <c r="I100" s="9">
        <f t="shared" si="50"/>
        <v>0</v>
      </c>
      <c r="J100" s="9">
        <f t="shared" si="51"/>
        <v>0</v>
      </c>
      <c r="K100" s="9">
        <f t="shared" si="52"/>
        <v>0</v>
      </c>
      <c r="L100" s="40">
        <f t="shared" si="53"/>
        <v>0</v>
      </c>
      <c r="M100" s="9" t="str">
        <f t="shared" si="54"/>
        <v/>
      </c>
      <c r="N100" s="9" t="str">
        <f t="shared" si="55"/>
        <v/>
      </c>
      <c r="O100" s="40" t="e">
        <f t="shared" si="56"/>
        <v>#VALUE!</v>
      </c>
      <c r="P100" s="41">
        <f t="shared" si="57"/>
        <v>0</v>
      </c>
      <c r="Q100" s="33">
        <f t="shared" si="58"/>
        <v>0</v>
      </c>
      <c r="R100" s="23" t="e">
        <f t="shared" si="59"/>
        <v>#VALUE!</v>
      </c>
      <c r="S100" s="8" t="e">
        <f t="shared" si="60"/>
        <v>#VALUE!</v>
      </c>
    </row>
    <row r="101" spans="1:19" ht="24" customHeight="1" x14ac:dyDescent="0.25">
      <c r="A101" s="4"/>
      <c r="B101" s="5"/>
      <c r="C101" s="5"/>
      <c r="D101" s="6">
        <f t="shared" si="0"/>
        <v>0</v>
      </c>
      <c r="E101" s="43">
        <f t="shared" si="46"/>
        <v>0</v>
      </c>
      <c r="F101" s="20">
        <f t="shared" si="47"/>
        <v>0</v>
      </c>
      <c r="G101" s="21">
        <f t="shared" si="48"/>
        <v>0</v>
      </c>
      <c r="H101" s="7" t="str">
        <f t="shared" si="49"/>
        <v/>
      </c>
      <c r="I101" s="9">
        <f t="shared" si="50"/>
        <v>0</v>
      </c>
      <c r="J101" s="9">
        <f t="shared" si="51"/>
        <v>0</v>
      </c>
      <c r="K101" s="9">
        <f t="shared" si="52"/>
        <v>0</v>
      </c>
      <c r="L101" s="40">
        <f t="shared" si="53"/>
        <v>0</v>
      </c>
      <c r="M101" s="9" t="str">
        <f t="shared" si="54"/>
        <v/>
      </c>
      <c r="N101" s="9" t="str">
        <f t="shared" si="55"/>
        <v/>
      </c>
      <c r="O101" s="40" t="e">
        <f t="shared" si="56"/>
        <v>#VALUE!</v>
      </c>
      <c r="P101" s="41">
        <f t="shared" si="57"/>
        <v>0</v>
      </c>
      <c r="Q101" s="33">
        <f t="shared" si="58"/>
        <v>0</v>
      </c>
      <c r="R101" s="23" t="e">
        <f t="shared" si="59"/>
        <v>#VALUE!</v>
      </c>
      <c r="S101" s="8" t="e">
        <f t="shared" si="60"/>
        <v>#VALUE!</v>
      </c>
    </row>
    <row r="102" spans="1:19" ht="24" customHeight="1" x14ac:dyDescent="0.25">
      <c r="A102" s="4"/>
      <c r="B102" s="5"/>
      <c r="C102" s="5"/>
      <c r="D102" s="6">
        <f t="shared" si="0"/>
        <v>0</v>
      </c>
      <c r="E102" s="43">
        <f t="shared" si="46"/>
        <v>0</v>
      </c>
      <c r="F102" s="20">
        <f t="shared" si="47"/>
        <v>0</v>
      </c>
      <c r="G102" s="21">
        <f t="shared" si="48"/>
        <v>0</v>
      </c>
      <c r="H102" s="7" t="str">
        <f t="shared" si="49"/>
        <v/>
      </c>
      <c r="I102" s="9">
        <f t="shared" si="50"/>
        <v>0</v>
      </c>
      <c r="J102" s="9">
        <f t="shared" si="51"/>
        <v>0</v>
      </c>
      <c r="K102" s="9">
        <f t="shared" si="52"/>
        <v>0</v>
      </c>
      <c r="L102" s="40">
        <f t="shared" si="53"/>
        <v>0</v>
      </c>
      <c r="M102" s="9" t="str">
        <f t="shared" si="54"/>
        <v/>
      </c>
      <c r="N102" s="9" t="str">
        <f t="shared" si="55"/>
        <v/>
      </c>
      <c r="O102" s="40" t="e">
        <f t="shared" si="56"/>
        <v>#VALUE!</v>
      </c>
      <c r="P102" s="41">
        <f t="shared" si="57"/>
        <v>0</v>
      </c>
      <c r="Q102" s="33">
        <f t="shared" si="58"/>
        <v>0</v>
      </c>
      <c r="R102" s="23" t="e">
        <f t="shared" si="59"/>
        <v>#VALUE!</v>
      </c>
      <c r="S102" s="8" t="e">
        <f t="shared" si="60"/>
        <v>#VALUE!</v>
      </c>
    </row>
    <row r="103" spans="1:19" ht="24" customHeight="1" x14ac:dyDescent="0.25">
      <c r="A103" s="4"/>
      <c r="B103" s="5"/>
      <c r="C103" s="5"/>
      <c r="D103" s="6">
        <f t="shared" si="0"/>
        <v>0</v>
      </c>
      <c r="E103" s="43">
        <f t="shared" si="46"/>
        <v>0</v>
      </c>
      <c r="F103" s="20">
        <f t="shared" si="47"/>
        <v>0</v>
      </c>
      <c r="G103" s="21">
        <f t="shared" si="48"/>
        <v>0</v>
      </c>
      <c r="H103" s="7" t="str">
        <f t="shared" si="49"/>
        <v/>
      </c>
      <c r="I103" s="9">
        <f t="shared" si="50"/>
        <v>0</v>
      </c>
      <c r="J103" s="9">
        <f t="shared" si="51"/>
        <v>0</v>
      </c>
      <c r="K103" s="9">
        <f t="shared" si="52"/>
        <v>0</v>
      </c>
      <c r="L103" s="40">
        <f t="shared" si="53"/>
        <v>0</v>
      </c>
      <c r="M103" s="9" t="str">
        <f t="shared" si="54"/>
        <v/>
      </c>
      <c r="N103" s="9" t="str">
        <f t="shared" si="55"/>
        <v/>
      </c>
      <c r="O103" s="40" t="e">
        <f t="shared" si="56"/>
        <v>#VALUE!</v>
      </c>
      <c r="P103" s="41">
        <f t="shared" si="57"/>
        <v>0</v>
      </c>
      <c r="Q103" s="33">
        <f t="shared" si="58"/>
        <v>0</v>
      </c>
      <c r="R103" s="23" t="e">
        <f t="shared" si="59"/>
        <v>#VALUE!</v>
      </c>
      <c r="S103" s="8" t="e">
        <f t="shared" si="60"/>
        <v>#VALUE!</v>
      </c>
    </row>
    <row r="104" spans="1:19" ht="24" customHeight="1" x14ac:dyDescent="0.25">
      <c r="A104" s="4"/>
      <c r="B104" s="5"/>
      <c r="C104" s="5"/>
      <c r="D104" s="6">
        <f t="shared" si="0"/>
        <v>0</v>
      </c>
      <c r="E104" s="43">
        <f t="shared" si="46"/>
        <v>0</v>
      </c>
      <c r="F104" s="20">
        <f t="shared" si="47"/>
        <v>0</v>
      </c>
      <c r="G104" s="21">
        <f t="shared" si="48"/>
        <v>0</v>
      </c>
      <c r="H104" s="7" t="str">
        <f t="shared" si="49"/>
        <v/>
      </c>
      <c r="I104" s="9">
        <f t="shared" si="50"/>
        <v>0</v>
      </c>
      <c r="J104" s="9">
        <f t="shared" si="51"/>
        <v>0</v>
      </c>
      <c r="K104" s="9">
        <f t="shared" si="52"/>
        <v>0</v>
      </c>
      <c r="L104" s="40">
        <f t="shared" si="53"/>
        <v>0</v>
      </c>
      <c r="M104" s="9" t="str">
        <f t="shared" si="54"/>
        <v/>
      </c>
      <c r="N104" s="9" t="str">
        <f t="shared" si="55"/>
        <v/>
      </c>
      <c r="O104" s="40" t="e">
        <f t="shared" si="56"/>
        <v>#VALUE!</v>
      </c>
      <c r="P104" s="41">
        <f t="shared" si="57"/>
        <v>0</v>
      </c>
      <c r="Q104" s="33">
        <f t="shared" si="58"/>
        <v>0</v>
      </c>
      <c r="R104" s="23" t="e">
        <f t="shared" si="59"/>
        <v>#VALUE!</v>
      </c>
      <c r="S104" s="8" t="e">
        <f t="shared" si="60"/>
        <v>#VALUE!</v>
      </c>
    </row>
    <row r="105" spans="1:19" ht="24" customHeight="1" x14ac:dyDescent="0.25">
      <c r="A105" s="4"/>
      <c r="B105" s="5"/>
      <c r="C105" s="5"/>
      <c r="D105" s="6">
        <f t="shared" si="0"/>
        <v>0</v>
      </c>
      <c r="E105" s="43">
        <f t="shared" si="46"/>
        <v>0</v>
      </c>
      <c r="F105" s="20">
        <f t="shared" si="47"/>
        <v>0</v>
      </c>
      <c r="G105" s="21">
        <f t="shared" si="48"/>
        <v>0</v>
      </c>
      <c r="H105" s="7" t="str">
        <f t="shared" si="49"/>
        <v/>
      </c>
      <c r="I105" s="9">
        <f t="shared" si="50"/>
        <v>0</v>
      </c>
      <c r="J105" s="9">
        <f t="shared" si="51"/>
        <v>0</v>
      </c>
      <c r="K105" s="9">
        <f t="shared" si="52"/>
        <v>0</v>
      </c>
      <c r="L105" s="40">
        <f t="shared" si="53"/>
        <v>0</v>
      </c>
      <c r="M105" s="9" t="str">
        <f t="shared" si="54"/>
        <v/>
      </c>
      <c r="N105" s="9" t="str">
        <f t="shared" si="55"/>
        <v/>
      </c>
      <c r="O105" s="40" t="e">
        <f t="shared" si="56"/>
        <v>#VALUE!</v>
      </c>
      <c r="P105" s="41">
        <f t="shared" si="57"/>
        <v>0</v>
      </c>
      <c r="Q105" s="33">
        <f t="shared" si="58"/>
        <v>0</v>
      </c>
      <c r="R105" s="23" t="e">
        <f t="shared" si="59"/>
        <v>#VALUE!</v>
      </c>
      <c r="S105" s="8" t="e">
        <f t="shared" si="60"/>
        <v>#VALUE!</v>
      </c>
    </row>
    <row r="106" spans="1:19" ht="24" customHeight="1" x14ac:dyDescent="0.25">
      <c r="A106" s="4"/>
      <c r="B106" s="5"/>
      <c r="C106" s="5"/>
      <c r="D106" s="6">
        <f t="shared" si="0"/>
        <v>0</v>
      </c>
      <c r="E106" s="43">
        <f t="shared" si="46"/>
        <v>0</v>
      </c>
      <c r="F106" s="20">
        <f t="shared" si="47"/>
        <v>0</v>
      </c>
      <c r="G106" s="21">
        <f t="shared" si="48"/>
        <v>0</v>
      </c>
      <c r="H106" s="7" t="str">
        <f t="shared" si="49"/>
        <v/>
      </c>
      <c r="I106" s="9">
        <f t="shared" si="50"/>
        <v>0</v>
      </c>
      <c r="J106" s="9">
        <f t="shared" si="51"/>
        <v>0</v>
      </c>
      <c r="K106" s="9">
        <f t="shared" si="52"/>
        <v>0</v>
      </c>
      <c r="L106" s="40">
        <f t="shared" si="53"/>
        <v>0</v>
      </c>
      <c r="M106" s="9" t="str">
        <f t="shared" si="54"/>
        <v/>
      </c>
      <c r="N106" s="9" t="str">
        <f t="shared" si="55"/>
        <v/>
      </c>
      <c r="O106" s="40" t="e">
        <f t="shared" si="56"/>
        <v>#VALUE!</v>
      </c>
      <c r="P106" s="41">
        <f t="shared" si="57"/>
        <v>0</v>
      </c>
      <c r="Q106" s="33">
        <f t="shared" si="58"/>
        <v>0</v>
      </c>
      <c r="R106" s="23" t="e">
        <f t="shared" si="59"/>
        <v>#VALUE!</v>
      </c>
      <c r="S106" s="8" t="e">
        <f t="shared" si="60"/>
        <v>#VALUE!</v>
      </c>
    </row>
    <row r="107" spans="1:19" ht="24" customHeight="1" x14ac:dyDescent="0.25">
      <c r="A107" s="4"/>
      <c r="B107" s="5"/>
      <c r="C107" s="5"/>
      <c r="D107" s="6">
        <f t="shared" si="0"/>
        <v>0</v>
      </c>
      <c r="E107" s="43">
        <f t="shared" si="46"/>
        <v>0</v>
      </c>
      <c r="F107" s="20">
        <f t="shared" si="47"/>
        <v>0</v>
      </c>
      <c r="G107" s="21">
        <f t="shared" si="48"/>
        <v>0</v>
      </c>
      <c r="H107" s="7" t="str">
        <f t="shared" si="49"/>
        <v/>
      </c>
      <c r="I107" s="9">
        <f t="shared" si="50"/>
        <v>0</v>
      </c>
      <c r="J107" s="9">
        <f t="shared" si="51"/>
        <v>0</v>
      </c>
      <c r="K107" s="9">
        <f t="shared" si="52"/>
        <v>0</v>
      </c>
      <c r="L107" s="40">
        <f t="shared" si="53"/>
        <v>0</v>
      </c>
      <c r="M107" s="9" t="str">
        <f t="shared" si="54"/>
        <v/>
      </c>
      <c r="N107" s="9" t="str">
        <f t="shared" si="55"/>
        <v/>
      </c>
      <c r="O107" s="40" t="e">
        <f t="shared" si="56"/>
        <v>#VALUE!</v>
      </c>
      <c r="P107" s="41">
        <f t="shared" si="57"/>
        <v>0</v>
      </c>
      <c r="Q107" s="33">
        <f t="shared" si="58"/>
        <v>0</v>
      </c>
      <c r="R107" s="23" t="e">
        <f t="shared" si="59"/>
        <v>#VALUE!</v>
      </c>
      <c r="S107" s="8" t="e">
        <f t="shared" si="60"/>
        <v>#VALUE!</v>
      </c>
    </row>
    <row r="108" spans="1:19" ht="24" customHeight="1" x14ac:dyDescent="0.25">
      <c r="A108" s="4"/>
      <c r="B108" s="5"/>
      <c r="C108" s="5"/>
      <c r="D108" s="6">
        <f t="shared" si="0"/>
        <v>0</v>
      </c>
      <c r="E108" s="43">
        <f t="shared" ref="E108:E134" si="61">(A108+B108)*2*C108/9.29*1.2/21</f>
        <v>0</v>
      </c>
      <c r="F108" s="20">
        <f t="shared" ref="F108:F134" si="62">(A108+B108)*2*C108/9.29*1.2/10.76</f>
        <v>0</v>
      </c>
      <c r="G108" s="21">
        <f t="shared" ref="G108:G134" si="63">(A108+B108)*2*C108/9.29*1.2</f>
        <v>0</v>
      </c>
      <c r="H108" s="7" t="str">
        <f t="shared" ref="H108:H134" si="64">IF(A108=0,"",IF(A108&lt;31,"26#",IF(A108&lt;76,"24#",IF(A108&lt;151,"22#",IF(A108&lt;225,"20#",IF(A108&lt;300,"18#"))))))</f>
        <v/>
      </c>
      <c r="I108" s="9">
        <f t="shared" ref="I108:I134" si="65">((A108+B108)*2*7.85*C108)/100</f>
        <v>0</v>
      </c>
      <c r="J108" s="9">
        <f t="shared" ref="J108:J134" si="66">(C108/1.2)*8</f>
        <v>0</v>
      </c>
      <c r="K108" s="9">
        <f t="shared" ref="K108:K134" si="67">(((A108+B108)*2)/15)*D108</f>
        <v>0</v>
      </c>
      <c r="L108" s="40">
        <f t="shared" ref="L108:L134" si="68">(((A108+B108)*2)*D108)/100</f>
        <v>0</v>
      </c>
      <c r="M108" s="9" t="str">
        <f t="shared" ref="M108:M134" si="69">IF(A108=0,"",IF(A108&lt;75,"0",IF(A108&lt;150,"1",IF(A108&lt;300,"2",IF(A108&lt;450,"3")))))</f>
        <v/>
      </c>
      <c r="N108" s="9" t="str">
        <f t="shared" ref="N108:N134" si="70">IF(B108=0,"",IF(B108&lt;75,"0",IF(B108&lt;150,"1",IF(B108&lt;300,"2"))))</f>
        <v/>
      </c>
      <c r="O108" s="40" t="e">
        <f t="shared" ref="O108:O134" si="71">(((B108/100)*M108)+((A108/100)*N108))*D108</f>
        <v>#VALUE!</v>
      </c>
      <c r="P108" s="41">
        <f t="shared" ref="P108:P134" si="72">(C108/2.2)*((A108+10)/100)</f>
        <v>0</v>
      </c>
      <c r="Q108" s="33">
        <f t="shared" ref="Q108:Q134" si="73">C108/2.2</f>
        <v>0</v>
      </c>
      <c r="R108" s="23" t="e">
        <f t="shared" ref="R108:R134" si="74">(M108*N108)*D108</f>
        <v>#VALUE!</v>
      </c>
      <c r="S108" s="8" t="e">
        <f t="shared" ref="S108:S134" si="75">((M108+N108)*4)*D108</f>
        <v>#VALUE!</v>
      </c>
    </row>
    <row r="109" spans="1:19" ht="24" customHeight="1" x14ac:dyDescent="0.25">
      <c r="A109" s="4"/>
      <c r="B109" s="5"/>
      <c r="C109" s="5"/>
      <c r="D109" s="6">
        <f t="shared" si="0"/>
        <v>0</v>
      </c>
      <c r="E109" s="43">
        <f t="shared" si="61"/>
        <v>0</v>
      </c>
      <c r="F109" s="20">
        <f t="shared" si="62"/>
        <v>0</v>
      </c>
      <c r="G109" s="21">
        <f t="shared" si="63"/>
        <v>0</v>
      </c>
      <c r="H109" s="7" t="str">
        <f t="shared" si="64"/>
        <v/>
      </c>
      <c r="I109" s="9">
        <f t="shared" si="65"/>
        <v>0</v>
      </c>
      <c r="J109" s="9">
        <f t="shared" si="66"/>
        <v>0</v>
      </c>
      <c r="K109" s="9">
        <f t="shared" si="67"/>
        <v>0</v>
      </c>
      <c r="L109" s="40">
        <f t="shared" si="68"/>
        <v>0</v>
      </c>
      <c r="M109" s="9" t="str">
        <f t="shared" si="69"/>
        <v/>
      </c>
      <c r="N109" s="9" t="str">
        <f t="shared" si="70"/>
        <v/>
      </c>
      <c r="O109" s="40" t="e">
        <f t="shared" si="71"/>
        <v>#VALUE!</v>
      </c>
      <c r="P109" s="41">
        <f t="shared" si="72"/>
        <v>0</v>
      </c>
      <c r="Q109" s="33">
        <f t="shared" si="73"/>
        <v>0</v>
      </c>
      <c r="R109" s="23" t="e">
        <f t="shared" si="74"/>
        <v>#VALUE!</v>
      </c>
      <c r="S109" s="8" t="e">
        <f t="shared" si="75"/>
        <v>#VALUE!</v>
      </c>
    </row>
    <row r="110" spans="1:19" ht="24" customHeight="1" x14ac:dyDescent="0.25">
      <c r="A110" s="4"/>
      <c r="B110" s="5"/>
      <c r="C110" s="5"/>
      <c r="D110" s="6">
        <f t="shared" si="0"/>
        <v>0</v>
      </c>
      <c r="E110" s="43">
        <f t="shared" si="61"/>
        <v>0</v>
      </c>
      <c r="F110" s="20">
        <f t="shared" si="62"/>
        <v>0</v>
      </c>
      <c r="G110" s="21">
        <f t="shared" si="63"/>
        <v>0</v>
      </c>
      <c r="H110" s="7" t="str">
        <f t="shared" si="64"/>
        <v/>
      </c>
      <c r="I110" s="9">
        <f t="shared" si="65"/>
        <v>0</v>
      </c>
      <c r="J110" s="9">
        <f t="shared" si="66"/>
        <v>0</v>
      </c>
      <c r="K110" s="9">
        <f t="shared" si="67"/>
        <v>0</v>
      </c>
      <c r="L110" s="40">
        <f t="shared" si="68"/>
        <v>0</v>
      </c>
      <c r="M110" s="9" t="str">
        <f t="shared" si="69"/>
        <v/>
      </c>
      <c r="N110" s="9" t="str">
        <f t="shared" si="70"/>
        <v/>
      </c>
      <c r="O110" s="40" t="e">
        <f t="shared" si="71"/>
        <v>#VALUE!</v>
      </c>
      <c r="P110" s="41">
        <f t="shared" si="72"/>
        <v>0</v>
      </c>
      <c r="Q110" s="33">
        <f t="shared" si="73"/>
        <v>0</v>
      </c>
      <c r="R110" s="23" t="e">
        <f t="shared" si="74"/>
        <v>#VALUE!</v>
      </c>
      <c r="S110" s="8" t="e">
        <f t="shared" si="75"/>
        <v>#VALUE!</v>
      </c>
    </row>
    <row r="111" spans="1:19" ht="24" customHeight="1" x14ac:dyDescent="0.25">
      <c r="A111" s="4"/>
      <c r="B111" s="5"/>
      <c r="C111" s="5"/>
      <c r="D111" s="6">
        <f t="shared" si="0"/>
        <v>0</v>
      </c>
      <c r="E111" s="43">
        <f t="shared" si="61"/>
        <v>0</v>
      </c>
      <c r="F111" s="20">
        <f t="shared" si="62"/>
        <v>0</v>
      </c>
      <c r="G111" s="21">
        <f t="shared" si="63"/>
        <v>0</v>
      </c>
      <c r="H111" s="7" t="str">
        <f t="shared" si="64"/>
        <v/>
      </c>
      <c r="I111" s="9">
        <f t="shared" si="65"/>
        <v>0</v>
      </c>
      <c r="J111" s="9">
        <f t="shared" si="66"/>
        <v>0</v>
      </c>
      <c r="K111" s="9">
        <f t="shared" si="67"/>
        <v>0</v>
      </c>
      <c r="L111" s="40">
        <f t="shared" si="68"/>
        <v>0</v>
      </c>
      <c r="M111" s="9" t="str">
        <f t="shared" si="69"/>
        <v/>
      </c>
      <c r="N111" s="9" t="str">
        <f t="shared" si="70"/>
        <v/>
      </c>
      <c r="O111" s="40" t="e">
        <f t="shared" si="71"/>
        <v>#VALUE!</v>
      </c>
      <c r="P111" s="41">
        <f t="shared" si="72"/>
        <v>0</v>
      </c>
      <c r="Q111" s="33">
        <f t="shared" si="73"/>
        <v>0</v>
      </c>
      <c r="R111" s="23" t="e">
        <f t="shared" si="74"/>
        <v>#VALUE!</v>
      </c>
      <c r="S111" s="8" t="e">
        <f t="shared" si="75"/>
        <v>#VALUE!</v>
      </c>
    </row>
    <row r="112" spans="1:19" ht="24" customHeight="1" x14ac:dyDescent="0.25">
      <c r="A112" s="4"/>
      <c r="B112" s="5"/>
      <c r="C112" s="5"/>
      <c r="D112" s="6">
        <f t="shared" si="0"/>
        <v>0</v>
      </c>
      <c r="E112" s="43">
        <f t="shared" si="61"/>
        <v>0</v>
      </c>
      <c r="F112" s="20">
        <f t="shared" si="62"/>
        <v>0</v>
      </c>
      <c r="G112" s="21">
        <f t="shared" si="63"/>
        <v>0</v>
      </c>
      <c r="H112" s="7" t="str">
        <f t="shared" si="64"/>
        <v/>
      </c>
      <c r="I112" s="9">
        <f t="shared" si="65"/>
        <v>0</v>
      </c>
      <c r="J112" s="9">
        <f t="shared" si="66"/>
        <v>0</v>
      </c>
      <c r="K112" s="9">
        <f t="shared" si="67"/>
        <v>0</v>
      </c>
      <c r="L112" s="40">
        <f t="shared" si="68"/>
        <v>0</v>
      </c>
      <c r="M112" s="9" t="str">
        <f t="shared" si="69"/>
        <v/>
      </c>
      <c r="N112" s="9" t="str">
        <f t="shared" si="70"/>
        <v/>
      </c>
      <c r="O112" s="40" t="e">
        <f t="shared" si="71"/>
        <v>#VALUE!</v>
      </c>
      <c r="P112" s="41">
        <f t="shared" si="72"/>
        <v>0</v>
      </c>
      <c r="Q112" s="33">
        <f t="shared" si="73"/>
        <v>0</v>
      </c>
      <c r="R112" s="23" t="e">
        <f t="shared" si="74"/>
        <v>#VALUE!</v>
      </c>
      <c r="S112" s="8" t="e">
        <f t="shared" si="75"/>
        <v>#VALUE!</v>
      </c>
    </row>
    <row r="113" spans="1:19" ht="24" customHeight="1" x14ac:dyDescent="0.25">
      <c r="A113" s="4"/>
      <c r="B113" s="5"/>
      <c r="C113" s="5"/>
      <c r="D113" s="6">
        <f t="shared" si="0"/>
        <v>0</v>
      </c>
      <c r="E113" s="43">
        <f t="shared" si="61"/>
        <v>0</v>
      </c>
      <c r="F113" s="20">
        <f t="shared" si="62"/>
        <v>0</v>
      </c>
      <c r="G113" s="21">
        <f t="shared" si="63"/>
        <v>0</v>
      </c>
      <c r="H113" s="7" t="str">
        <f t="shared" si="64"/>
        <v/>
      </c>
      <c r="I113" s="9">
        <f t="shared" si="65"/>
        <v>0</v>
      </c>
      <c r="J113" s="9">
        <f t="shared" si="66"/>
        <v>0</v>
      </c>
      <c r="K113" s="9">
        <f t="shared" si="67"/>
        <v>0</v>
      </c>
      <c r="L113" s="40">
        <f t="shared" si="68"/>
        <v>0</v>
      </c>
      <c r="M113" s="9" t="str">
        <f t="shared" si="69"/>
        <v/>
      </c>
      <c r="N113" s="9" t="str">
        <f t="shared" si="70"/>
        <v/>
      </c>
      <c r="O113" s="40" t="e">
        <f t="shared" si="71"/>
        <v>#VALUE!</v>
      </c>
      <c r="P113" s="41">
        <f t="shared" si="72"/>
        <v>0</v>
      </c>
      <c r="Q113" s="33">
        <f t="shared" si="73"/>
        <v>0</v>
      </c>
      <c r="R113" s="23" t="e">
        <f t="shared" si="74"/>
        <v>#VALUE!</v>
      </c>
      <c r="S113" s="8" t="e">
        <f t="shared" si="75"/>
        <v>#VALUE!</v>
      </c>
    </row>
    <row r="114" spans="1:19" ht="24" customHeight="1" x14ac:dyDescent="0.25">
      <c r="A114" s="4"/>
      <c r="B114" s="5"/>
      <c r="C114" s="5"/>
      <c r="D114" s="6">
        <f t="shared" si="0"/>
        <v>0</v>
      </c>
      <c r="E114" s="43">
        <f t="shared" si="61"/>
        <v>0</v>
      </c>
      <c r="F114" s="20">
        <f t="shared" si="62"/>
        <v>0</v>
      </c>
      <c r="G114" s="21">
        <f t="shared" si="63"/>
        <v>0</v>
      </c>
      <c r="H114" s="7" t="str">
        <f t="shared" si="64"/>
        <v/>
      </c>
      <c r="I114" s="9">
        <f t="shared" si="65"/>
        <v>0</v>
      </c>
      <c r="J114" s="9">
        <f t="shared" si="66"/>
        <v>0</v>
      </c>
      <c r="K114" s="9">
        <f t="shared" si="67"/>
        <v>0</v>
      </c>
      <c r="L114" s="40">
        <f t="shared" si="68"/>
        <v>0</v>
      </c>
      <c r="M114" s="9" t="str">
        <f t="shared" si="69"/>
        <v/>
      </c>
      <c r="N114" s="9" t="str">
        <f t="shared" si="70"/>
        <v/>
      </c>
      <c r="O114" s="40" t="e">
        <f t="shared" si="71"/>
        <v>#VALUE!</v>
      </c>
      <c r="P114" s="41">
        <f t="shared" si="72"/>
        <v>0</v>
      </c>
      <c r="Q114" s="33">
        <f t="shared" si="73"/>
        <v>0</v>
      </c>
      <c r="R114" s="23" t="e">
        <f t="shared" si="74"/>
        <v>#VALUE!</v>
      </c>
      <c r="S114" s="8" t="e">
        <f t="shared" si="75"/>
        <v>#VALUE!</v>
      </c>
    </row>
    <row r="115" spans="1:19" ht="24" customHeight="1" x14ac:dyDescent="0.25">
      <c r="A115" s="4"/>
      <c r="B115" s="5"/>
      <c r="C115" s="5"/>
      <c r="D115" s="6">
        <f t="shared" si="0"/>
        <v>0</v>
      </c>
      <c r="E115" s="43">
        <f t="shared" si="61"/>
        <v>0</v>
      </c>
      <c r="F115" s="20">
        <f t="shared" si="62"/>
        <v>0</v>
      </c>
      <c r="G115" s="21">
        <f t="shared" si="63"/>
        <v>0</v>
      </c>
      <c r="H115" s="7" t="str">
        <f t="shared" si="64"/>
        <v/>
      </c>
      <c r="I115" s="9">
        <f t="shared" si="65"/>
        <v>0</v>
      </c>
      <c r="J115" s="9">
        <f t="shared" si="66"/>
        <v>0</v>
      </c>
      <c r="K115" s="9">
        <f t="shared" si="67"/>
        <v>0</v>
      </c>
      <c r="L115" s="40">
        <f t="shared" si="68"/>
        <v>0</v>
      </c>
      <c r="M115" s="9" t="str">
        <f t="shared" si="69"/>
        <v/>
      </c>
      <c r="N115" s="9" t="str">
        <f t="shared" si="70"/>
        <v/>
      </c>
      <c r="O115" s="40" t="e">
        <f t="shared" si="71"/>
        <v>#VALUE!</v>
      </c>
      <c r="P115" s="41">
        <f t="shared" si="72"/>
        <v>0</v>
      </c>
      <c r="Q115" s="33">
        <f t="shared" si="73"/>
        <v>0</v>
      </c>
      <c r="R115" s="23" t="e">
        <f t="shared" si="74"/>
        <v>#VALUE!</v>
      </c>
      <c r="S115" s="8" t="e">
        <f t="shared" si="75"/>
        <v>#VALUE!</v>
      </c>
    </row>
    <row r="116" spans="1:19" ht="24" customHeight="1" x14ac:dyDescent="0.25">
      <c r="A116" s="4"/>
      <c r="B116" s="5"/>
      <c r="C116" s="5"/>
      <c r="D116" s="6">
        <f t="shared" si="0"/>
        <v>0</v>
      </c>
      <c r="E116" s="43">
        <f t="shared" si="61"/>
        <v>0</v>
      </c>
      <c r="F116" s="20">
        <f t="shared" si="62"/>
        <v>0</v>
      </c>
      <c r="G116" s="21">
        <f t="shared" si="63"/>
        <v>0</v>
      </c>
      <c r="H116" s="7" t="str">
        <f t="shared" si="64"/>
        <v/>
      </c>
      <c r="I116" s="9">
        <f t="shared" si="65"/>
        <v>0</v>
      </c>
      <c r="J116" s="9">
        <f t="shared" si="66"/>
        <v>0</v>
      </c>
      <c r="K116" s="9">
        <f t="shared" si="67"/>
        <v>0</v>
      </c>
      <c r="L116" s="40">
        <f t="shared" si="68"/>
        <v>0</v>
      </c>
      <c r="M116" s="9" t="str">
        <f t="shared" si="69"/>
        <v/>
      </c>
      <c r="N116" s="9" t="str">
        <f t="shared" si="70"/>
        <v/>
      </c>
      <c r="O116" s="40" t="e">
        <f t="shared" si="71"/>
        <v>#VALUE!</v>
      </c>
      <c r="P116" s="41">
        <f t="shared" si="72"/>
        <v>0</v>
      </c>
      <c r="Q116" s="33">
        <f t="shared" si="73"/>
        <v>0</v>
      </c>
      <c r="R116" s="23" t="e">
        <f t="shared" si="74"/>
        <v>#VALUE!</v>
      </c>
      <c r="S116" s="8" t="e">
        <f t="shared" si="75"/>
        <v>#VALUE!</v>
      </c>
    </row>
    <row r="117" spans="1:19" ht="24" customHeight="1" x14ac:dyDescent="0.25">
      <c r="A117" s="4"/>
      <c r="B117" s="5"/>
      <c r="C117" s="5"/>
      <c r="D117" s="6">
        <f t="shared" si="0"/>
        <v>0</v>
      </c>
      <c r="E117" s="43">
        <f t="shared" si="61"/>
        <v>0</v>
      </c>
      <c r="F117" s="20">
        <f t="shared" si="62"/>
        <v>0</v>
      </c>
      <c r="G117" s="21">
        <f t="shared" si="63"/>
        <v>0</v>
      </c>
      <c r="H117" s="7" t="str">
        <f t="shared" si="64"/>
        <v/>
      </c>
      <c r="I117" s="9">
        <f t="shared" si="65"/>
        <v>0</v>
      </c>
      <c r="J117" s="9">
        <f t="shared" si="66"/>
        <v>0</v>
      </c>
      <c r="K117" s="9">
        <f t="shared" si="67"/>
        <v>0</v>
      </c>
      <c r="L117" s="40">
        <f t="shared" si="68"/>
        <v>0</v>
      </c>
      <c r="M117" s="9" t="str">
        <f t="shared" si="69"/>
        <v/>
      </c>
      <c r="N117" s="9" t="str">
        <f t="shared" si="70"/>
        <v/>
      </c>
      <c r="O117" s="40" t="e">
        <f t="shared" si="71"/>
        <v>#VALUE!</v>
      </c>
      <c r="P117" s="41">
        <f t="shared" si="72"/>
        <v>0</v>
      </c>
      <c r="Q117" s="33">
        <f t="shared" si="73"/>
        <v>0</v>
      </c>
      <c r="R117" s="23" t="e">
        <f t="shared" si="74"/>
        <v>#VALUE!</v>
      </c>
      <c r="S117" s="8" t="e">
        <f t="shared" si="75"/>
        <v>#VALUE!</v>
      </c>
    </row>
    <row r="118" spans="1:19" ht="24" customHeight="1" x14ac:dyDescent="0.25">
      <c r="A118" s="4"/>
      <c r="B118" s="5"/>
      <c r="C118" s="5"/>
      <c r="D118" s="6">
        <f t="shared" si="0"/>
        <v>0</v>
      </c>
      <c r="E118" s="43">
        <f t="shared" si="61"/>
        <v>0</v>
      </c>
      <c r="F118" s="20">
        <f t="shared" si="62"/>
        <v>0</v>
      </c>
      <c r="G118" s="21">
        <f t="shared" si="63"/>
        <v>0</v>
      </c>
      <c r="H118" s="7" t="str">
        <f t="shared" si="64"/>
        <v/>
      </c>
      <c r="I118" s="9">
        <f t="shared" si="65"/>
        <v>0</v>
      </c>
      <c r="J118" s="9">
        <f t="shared" si="66"/>
        <v>0</v>
      </c>
      <c r="K118" s="9">
        <f t="shared" si="67"/>
        <v>0</v>
      </c>
      <c r="L118" s="40">
        <f t="shared" si="68"/>
        <v>0</v>
      </c>
      <c r="M118" s="9" t="str">
        <f t="shared" si="69"/>
        <v/>
      </c>
      <c r="N118" s="9" t="str">
        <f t="shared" si="70"/>
        <v/>
      </c>
      <c r="O118" s="40" t="e">
        <f t="shared" si="71"/>
        <v>#VALUE!</v>
      </c>
      <c r="P118" s="41">
        <f t="shared" si="72"/>
        <v>0</v>
      </c>
      <c r="Q118" s="33">
        <f t="shared" si="73"/>
        <v>0</v>
      </c>
      <c r="R118" s="23" t="e">
        <f t="shared" si="74"/>
        <v>#VALUE!</v>
      </c>
      <c r="S118" s="8" t="e">
        <f t="shared" si="75"/>
        <v>#VALUE!</v>
      </c>
    </row>
    <row r="119" spans="1:19" ht="24" customHeight="1" x14ac:dyDescent="0.25">
      <c r="A119" s="4"/>
      <c r="B119" s="5"/>
      <c r="C119" s="5"/>
      <c r="D119" s="6">
        <f t="shared" si="0"/>
        <v>0</v>
      </c>
      <c r="E119" s="43">
        <f t="shared" si="61"/>
        <v>0</v>
      </c>
      <c r="F119" s="20">
        <f t="shared" si="62"/>
        <v>0</v>
      </c>
      <c r="G119" s="21">
        <f t="shared" si="63"/>
        <v>0</v>
      </c>
      <c r="H119" s="7" t="str">
        <f t="shared" si="64"/>
        <v/>
      </c>
      <c r="I119" s="9">
        <f t="shared" si="65"/>
        <v>0</v>
      </c>
      <c r="J119" s="9">
        <f t="shared" si="66"/>
        <v>0</v>
      </c>
      <c r="K119" s="9">
        <f t="shared" si="67"/>
        <v>0</v>
      </c>
      <c r="L119" s="40">
        <f t="shared" si="68"/>
        <v>0</v>
      </c>
      <c r="M119" s="9" t="str">
        <f t="shared" si="69"/>
        <v/>
      </c>
      <c r="N119" s="9" t="str">
        <f t="shared" si="70"/>
        <v/>
      </c>
      <c r="O119" s="40" t="e">
        <f t="shared" si="71"/>
        <v>#VALUE!</v>
      </c>
      <c r="P119" s="41">
        <f t="shared" si="72"/>
        <v>0</v>
      </c>
      <c r="Q119" s="33">
        <f t="shared" si="73"/>
        <v>0</v>
      </c>
      <c r="R119" s="23" t="e">
        <f t="shared" si="74"/>
        <v>#VALUE!</v>
      </c>
      <c r="S119" s="8" t="e">
        <f t="shared" si="75"/>
        <v>#VALUE!</v>
      </c>
    </row>
    <row r="120" spans="1:19" ht="24" customHeight="1" x14ac:dyDescent="0.25">
      <c r="A120" s="4"/>
      <c r="B120" s="5"/>
      <c r="C120" s="5"/>
      <c r="D120" s="6">
        <f t="shared" si="0"/>
        <v>0</v>
      </c>
      <c r="E120" s="43">
        <f t="shared" si="61"/>
        <v>0</v>
      </c>
      <c r="F120" s="20">
        <f t="shared" si="62"/>
        <v>0</v>
      </c>
      <c r="G120" s="21">
        <f t="shared" si="63"/>
        <v>0</v>
      </c>
      <c r="H120" s="7" t="str">
        <f t="shared" si="64"/>
        <v/>
      </c>
      <c r="I120" s="9">
        <f t="shared" si="65"/>
        <v>0</v>
      </c>
      <c r="J120" s="9">
        <f t="shared" si="66"/>
        <v>0</v>
      </c>
      <c r="K120" s="9">
        <f t="shared" si="67"/>
        <v>0</v>
      </c>
      <c r="L120" s="40">
        <f t="shared" si="68"/>
        <v>0</v>
      </c>
      <c r="M120" s="9" t="str">
        <f t="shared" si="69"/>
        <v/>
      </c>
      <c r="N120" s="9" t="str">
        <f t="shared" si="70"/>
        <v/>
      </c>
      <c r="O120" s="40" t="e">
        <f t="shared" si="71"/>
        <v>#VALUE!</v>
      </c>
      <c r="P120" s="41">
        <f t="shared" si="72"/>
        <v>0</v>
      </c>
      <c r="Q120" s="33">
        <f t="shared" si="73"/>
        <v>0</v>
      </c>
      <c r="R120" s="23" t="e">
        <f t="shared" si="74"/>
        <v>#VALUE!</v>
      </c>
      <c r="S120" s="8" t="e">
        <f t="shared" si="75"/>
        <v>#VALUE!</v>
      </c>
    </row>
    <row r="121" spans="1:19" ht="24" customHeight="1" x14ac:dyDescent="0.25">
      <c r="A121" s="4"/>
      <c r="B121" s="5"/>
      <c r="C121" s="5"/>
      <c r="D121" s="6">
        <f t="shared" si="0"/>
        <v>0</v>
      </c>
      <c r="E121" s="43">
        <f t="shared" si="61"/>
        <v>0</v>
      </c>
      <c r="F121" s="20">
        <f t="shared" si="62"/>
        <v>0</v>
      </c>
      <c r="G121" s="21">
        <f t="shared" si="63"/>
        <v>0</v>
      </c>
      <c r="H121" s="7" t="str">
        <f t="shared" si="64"/>
        <v/>
      </c>
      <c r="I121" s="9">
        <f t="shared" si="65"/>
        <v>0</v>
      </c>
      <c r="J121" s="9">
        <f t="shared" si="66"/>
        <v>0</v>
      </c>
      <c r="K121" s="9">
        <f t="shared" si="67"/>
        <v>0</v>
      </c>
      <c r="L121" s="40">
        <f t="shared" si="68"/>
        <v>0</v>
      </c>
      <c r="M121" s="9" t="str">
        <f t="shared" si="69"/>
        <v/>
      </c>
      <c r="N121" s="9" t="str">
        <f t="shared" si="70"/>
        <v/>
      </c>
      <c r="O121" s="40" t="e">
        <f t="shared" si="71"/>
        <v>#VALUE!</v>
      </c>
      <c r="P121" s="41">
        <f t="shared" si="72"/>
        <v>0</v>
      </c>
      <c r="Q121" s="33">
        <f t="shared" si="73"/>
        <v>0</v>
      </c>
      <c r="R121" s="23" t="e">
        <f t="shared" si="74"/>
        <v>#VALUE!</v>
      </c>
      <c r="S121" s="8" t="e">
        <f t="shared" si="75"/>
        <v>#VALUE!</v>
      </c>
    </row>
    <row r="122" spans="1:19" ht="24" customHeight="1" x14ac:dyDescent="0.25">
      <c r="A122" s="4"/>
      <c r="B122" s="5"/>
      <c r="C122" s="5"/>
      <c r="D122" s="6">
        <f t="shared" si="0"/>
        <v>0</v>
      </c>
      <c r="E122" s="43">
        <f t="shared" si="61"/>
        <v>0</v>
      </c>
      <c r="F122" s="20">
        <f t="shared" si="62"/>
        <v>0</v>
      </c>
      <c r="G122" s="21">
        <f t="shared" si="63"/>
        <v>0</v>
      </c>
      <c r="H122" s="7" t="str">
        <f t="shared" si="64"/>
        <v/>
      </c>
      <c r="I122" s="9">
        <f t="shared" si="65"/>
        <v>0</v>
      </c>
      <c r="J122" s="9">
        <f t="shared" si="66"/>
        <v>0</v>
      </c>
      <c r="K122" s="9">
        <f t="shared" si="67"/>
        <v>0</v>
      </c>
      <c r="L122" s="40">
        <f t="shared" si="68"/>
        <v>0</v>
      </c>
      <c r="M122" s="9" t="str">
        <f t="shared" si="69"/>
        <v/>
      </c>
      <c r="N122" s="9" t="str">
        <f t="shared" si="70"/>
        <v/>
      </c>
      <c r="O122" s="40" t="e">
        <f t="shared" si="71"/>
        <v>#VALUE!</v>
      </c>
      <c r="P122" s="41">
        <f t="shared" si="72"/>
        <v>0</v>
      </c>
      <c r="Q122" s="33">
        <f t="shared" si="73"/>
        <v>0</v>
      </c>
      <c r="R122" s="23" t="e">
        <f t="shared" si="74"/>
        <v>#VALUE!</v>
      </c>
      <c r="S122" s="8" t="e">
        <f t="shared" si="75"/>
        <v>#VALUE!</v>
      </c>
    </row>
    <row r="123" spans="1:19" ht="24" customHeight="1" x14ac:dyDescent="0.25">
      <c r="A123" s="4"/>
      <c r="B123" s="5"/>
      <c r="C123" s="5"/>
      <c r="D123" s="6">
        <f t="shared" si="0"/>
        <v>0</v>
      </c>
      <c r="E123" s="43">
        <f t="shared" si="61"/>
        <v>0</v>
      </c>
      <c r="F123" s="20">
        <f t="shared" si="62"/>
        <v>0</v>
      </c>
      <c r="G123" s="21">
        <f t="shared" si="63"/>
        <v>0</v>
      </c>
      <c r="H123" s="7" t="str">
        <f t="shared" si="64"/>
        <v/>
      </c>
      <c r="I123" s="9">
        <f t="shared" si="65"/>
        <v>0</v>
      </c>
      <c r="J123" s="9">
        <f t="shared" si="66"/>
        <v>0</v>
      </c>
      <c r="K123" s="9">
        <f t="shared" si="67"/>
        <v>0</v>
      </c>
      <c r="L123" s="40">
        <f t="shared" si="68"/>
        <v>0</v>
      </c>
      <c r="M123" s="9" t="str">
        <f t="shared" si="69"/>
        <v/>
      </c>
      <c r="N123" s="9" t="str">
        <f t="shared" si="70"/>
        <v/>
      </c>
      <c r="O123" s="40" t="e">
        <f t="shared" si="71"/>
        <v>#VALUE!</v>
      </c>
      <c r="P123" s="41">
        <f t="shared" si="72"/>
        <v>0</v>
      </c>
      <c r="Q123" s="33">
        <f t="shared" si="73"/>
        <v>0</v>
      </c>
      <c r="R123" s="23" t="e">
        <f t="shared" si="74"/>
        <v>#VALUE!</v>
      </c>
      <c r="S123" s="8" t="e">
        <f t="shared" si="75"/>
        <v>#VALUE!</v>
      </c>
    </row>
    <row r="124" spans="1:19" ht="24" customHeight="1" x14ac:dyDescent="0.25">
      <c r="A124" s="4"/>
      <c r="B124" s="5"/>
      <c r="C124" s="5"/>
      <c r="D124" s="6">
        <f t="shared" si="0"/>
        <v>0</v>
      </c>
      <c r="E124" s="43">
        <f t="shared" si="61"/>
        <v>0</v>
      </c>
      <c r="F124" s="20">
        <f t="shared" si="62"/>
        <v>0</v>
      </c>
      <c r="G124" s="21">
        <f t="shared" si="63"/>
        <v>0</v>
      </c>
      <c r="H124" s="7" t="str">
        <f t="shared" si="64"/>
        <v/>
      </c>
      <c r="I124" s="9">
        <f t="shared" si="65"/>
        <v>0</v>
      </c>
      <c r="J124" s="9">
        <f t="shared" si="66"/>
        <v>0</v>
      </c>
      <c r="K124" s="9">
        <f t="shared" si="67"/>
        <v>0</v>
      </c>
      <c r="L124" s="40">
        <f t="shared" si="68"/>
        <v>0</v>
      </c>
      <c r="M124" s="9" t="str">
        <f t="shared" si="69"/>
        <v/>
      </c>
      <c r="N124" s="9" t="str">
        <f t="shared" si="70"/>
        <v/>
      </c>
      <c r="O124" s="40" t="e">
        <f t="shared" si="71"/>
        <v>#VALUE!</v>
      </c>
      <c r="P124" s="41">
        <f t="shared" si="72"/>
        <v>0</v>
      </c>
      <c r="Q124" s="33">
        <f t="shared" si="73"/>
        <v>0</v>
      </c>
      <c r="R124" s="23" t="e">
        <f t="shared" si="74"/>
        <v>#VALUE!</v>
      </c>
      <c r="S124" s="8" t="e">
        <f t="shared" si="75"/>
        <v>#VALUE!</v>
      </c>
    </row>
    <row r="125" spans="1:19" ht="24" customHeight="1" x14ac:dyDescent="0.25">
      <c r="A125" s="4"/>
      <c r="B125" s="5"/>
      <c r="C125" s="5"/>
      <c r="D125" s="6">
        <f t="shared" si="0"/>
        <v>0</v>
      </c>
      <c r="E125" s="43">
        <f t="shared" si="61"/>
        <v>0</v>
      </c>
      <c r="F125" s="20">
        <f t="shared" si="62"/>
        <v>0</v>
      </c>
      <c r="G125" s="21">
        <f t="shared" si="63"/>
        <v>0</v>
      </c>
      <c r="H125" s="7" t="str">
        <f t="shared" si="64"/>
        <v/>
      </c>
      <c r="I125" s="9">
        <f t="shared" si="65"/>
        <v>0</v>
      </c>
      <c r="J125" s="9">
        <f t="shared" si="66"/>
        <v>0</v>
      </c>
      <c r="K125" s="9">
        <f t="shared" si="67"/>
        <v>0</v>
      </c>
      <c r="L125" s="40">
        <f t="shared" si="68"/>
        <v>0</v>
      </c>
      <c r="M125" s="9" t="str">
        <f t="shared" si="69"/>
        <v/>
      </c>
      <c r="N125" s="9" t="str">
        <f t="shared" si="70"/>
        <v/>
      </c>
      <c r="O125" s="40" t="e">
        <f t="shared" si="71"/>
        <v>#VALUE!</v>
      </c>
      <c r="P125" s="41">
        <f t="shared" si="72"/>
        <v>0</v>
      </c>
      <c r="Q125" s="33">
        <f t="shared" si="73"/>
        <v>0</v>
      </c>
      <c r="R125" s="23" t="e">
        <f t="shared" si="74"/>
        <v>#VALUE!</v>
      </c>
      <c r="S125" s="8" t="e">
        <f t="shared" si="75"/>
        <v>#VALUE!</v>
      </c>
    </row>
    <row r="126" spans="1:19" ht="24" customHeight="1" x14ac:dyDescent="0.25">
      <c r="A126" s="4"/>
      <c r="B126" s="5"/>
      <c r="C126" s="5"/>
      <c r="D126" s="6">
        <f t="shared" si="0"/>
        <v>0</v>
      </c>
      <c r="E126" s="43">
        <f t="shared" si="61"/>
        <v>0</v>
      </c>
      <c r="F126" s="20">
        <f t="shared" si="62"/>
        <v>0</v>
      </c>
      <c r="G126" s="21">
        <f t="shared" si="63"/>
        <v>0</v>
      </c>
      <c r="H126" s="7" t="str">
        <f t="shared" si="64"/>
        <v/>
      </c>
      <c r="I126" s="9">
        <f t="shared" si="65"/>
        <v>0</v>
      </c>
      <c r="J126" s="9">
        <f t="shared" si="66"/>
        <v>0</v>
      </c>
      <c r="K126" s="9">
        <f t="shared" si="67"/>
        <v>0</v>
      </c>
      <c r="L126" s="40">
        <f t="shared" si="68"/>
        <v>0</v>
      </c>
      <c r="M126" s="9" t="str">
        <f t="shared" si="69"/>
        <v/>
      </c>
      <c r="N126" s="9" t="str">
        <f t="shared" si="70"/>
        <v/>
      </c>
      <c r="O126" s="40" t="e">
        <f t="shared" si="71"/>
        <v>#VALUE!</v>
      </c>
      <c r="P126" s="41">
        <f t="shared" si="72"/>
        <v>0</v>
      </c>
      <c r="Q126" s="33">
        <f t="shared" si="73"/>
        <v>0</v>
      </c>
      <c r="R126" s="23" t="e">
        <f t="shared" si="74"/>
        <v>#VALUE!</v>
      </c>
      <c r="S126" s="8" t="e">
        <f t="shared" si="75"/>
        <v>#VALUE!</v>
      </c>
    </row>
    <row r="127" spans="1:19" ht="24" customHeight="1" x14ac:dyDescent="0.25">
      <c r="A127" s="4"/>
      <c r="B127" s="5"/>
      <c r="C127" s="5"/>
      <c r="D127" s="6">
        <f t="shared" si="0"/>
        <v>0</v>
      </c>
      <c r="E127" s="43">
        <f t="shared" si="61"/>
        <v>0</v>
      </c>
      <c r="F127" s="20">
        <f t="shared" si="62"/>
        <v>0</v>
      </c>
      <c r="G127" s="21">
        <f t="shared" si="63"/>
        <v>0</v>
      </c>
      <c r="H127" s="7" t="str">
        <f t="shared" si="64"/>
        <v/>
      </c>
      <c r="I127" s="9">
        <f t="shared" si="65"/>
        <v>0</v>
      </c>
      <c r="J127" s="9">
        <f t="shared" si="66"/>
        <v>0</v>
      </c>
      <c r="K127" s="9">
        <f t="shared" si="67"/>
        <v>0</v>
      </c>
      <c r="L127" s="40">
        <f t="shared" si="68"/>
        <v>0</v>
      </c>
      <c r="M127" s="9" t="str">
        <f t="shared" si="69"/>
        <v/>
      </c>
      <c r="N127" s="9" t="str">
        <f t="shared" si="70"/>
        <v/>
      </c>
      <c r="O127" s="40" t="e">
        <f t="shared" si="71"/>
        <v>#VALUE!</v>
      </c>
      <c r="P127" s="41">
        <f t="shared" si="72"/>
        <v>0</v>
      </c>
      <c r="Q127" s="33">
        <f t="shared" si="73"/>
        <v>0</v>
      </c>
      <c r="R127" s="23" t="e">
        <f t="shared" si="74"/>
        <v>#VALUE!</v>
      </c>
      <c r="S127" s="8" t="e">
        <f t="shared" si="75"/>
        <v>#VALUE!</v>
      </c>
    </row>
    <row r="128" spans="1:19" ht="24" customHeight="1" x14ac:dyDescent="0.25">
      <c r="A128" s="4"/>
      <c r="B128" s="5"/>
      <c r="C128" s="5"/>
      <c r="D128" s="6">
        <f t="shared" si="0"/>
        <v>0</v>
      </c>
      <c r="E128" s="43">
        <f t="shared" si="61"/>
        <v>0</v>
      </c>
      <c r="F128" s="20">
        <f t="shared" si="62"/>
        <v>0</v>
      </c>
      <c r="G128" s="21">
        <f t="shared" si="63"/>
        <v>0</v>
      </c>
      <c r="H128" s="7" t="str">
        <f t="shared" si="64"/>
        <v/>
      </c>
      <c r="I128" s="9">
        <f t="shared" si="65"/>
        <v>0</v>
      </c>
      <c r="J128" s="9">
        <f t="shared" si="66"/>
        <v>0</v>
      </c>
      <c r="K128" s="9">
        <f t="shared" si="67"/>
        <v>0</v>
      </c>
      <c r="L128" s="40">
        <f t="shared" si="68"/>
        <v>0</v>
      </c>
      <c r="M128" s="9" t="str">
        <f t="shared" si="69"/>
        <v/>
      </c>
      <c r="N128" s="9" t="str">
        <f t="shared" si="70"/>
        <v/>
      </c>
      <c r="O128" s="40" t="e">
        <f t="shared" si="71"/>
        <v>#VALUE!</v>
      </c>
      <c r="P128" s="41">
        <f t="shared" si="72"/>
        <v>0</v>
      </c>
      <c r="Q128" s="33">
        <f t="shared" si="73"/>
        <v>0</v>
      </c>
      <c r="R128" s="23" t="e">
        <f t="shared" si="74"/>
        <v>#VALUE!</v>
      </c>
      <c r="S128" s="8" t="e">
        <f t="shared" si="75"/>
        <v>#VALUE!</v>
      </c>
    </row>
    <row r="129" spans="1:19" ht="24" customHeight="1" x14ac:dyDescent="0.25">
      <c r="A129" s="4"/>
      <c r="B129" s="5"/>
      <c r="C129" s="5"/>
      <c r="D129" s="6">
        <f t="shared" si="0"/>
        <v>0</v>
      </c>
      <c r="E129" s="43">
        <f t="shared" si="61"/>
        <v>0</v>
      </c>
      <c r="F129" s="20">
        <f t="shared" si="62"/>
        <v>0</v>
      </c>
      <c r="G129" s="21">
        <f t="shared" si="63"/>
        <v>0</v>
      </c>
      <c r="H129" s="7" t="str">
        <f t="shared" si="64"/>
        <v/>
      </c>
      <c r="I129" s="9">
        <f t="shared" si="65"/>
        <v>0</v>
      </c>
      <c r="J129" s="9">
        <f t="shared" si="66"/>
        <v>0</v>
      </c>
      <c r="K129" s="9">
        <f t="shared" si="67"/>
        <v>0</v>
      </c>
      <c r="L129" s="40">
        <f t="shared" si="68"/>
        <v>0</v>
      </c>
      <c r="M129" s="9" t="str">
        <f t="shared" si="69"/>
        <v/>
      </c>
      <c r="N129" s="9" t="str">
        <f t="shared" si="70"/>
        <v/>
      </c>
      <c r="O129" s="40" t="e">
        <f t="shared" si="71"/>
        <v>#VALUE!</v>
      </c>
      <c r="P129" s="41">
        <f t="shared" si="72"/>
        <v>0</v>
      </c>
      <c r="Q129" s="33">
        <f t="shared" si="73"/>
        <v>0</v>
      </c>
      <c r="R129" s="23" t="e">
        <f t="shared" si="74"/>
        <v>#VALUE!</v>
      </c>
      <c r="S129" s="8" t="e">
        <f t="shared" si="75"/>
        <v>#VALUE!</v>
      </c>
    </row>
    <row r="130" spans="1:19" ht="24" customHeight="1" x14ac:dyDescent="0.25">
      <c r="A130" s="4"/>
      <c r="B130" s="5"/>
      <c r="C130" s="5"/>
      <c r="D130" s="6">
        <f t="shared" si="0"/>
        <v>0</v>
      </c>
      <c r="E130" s="43">
        <f t="shared" si="61"/>
        <v>0</v>
      </c>
      <c r="F130" s="20">
        <f t="shared" si="62"/>
        <v>0</v>
      </c>
      <c r="G130" s="21">
        <f t="shared" si="63"/>
        <v>0</v>
      </c>
      <c r="H130" s="7" t="str">
        <f t="shared" si="64"/>
        <v/>
      </c>
      <c r="I130" s="9">
        <f t="shared" si="65"/>
        <v>0</v>
      </c>
      <c r="J130" s="9">
        <f t="shared" si="66"/>
        <v>0</v>
      </c>
      <c r="K130" s="9">
        <f t="shared" si="67"/>
        <v>0</v>
      </c>
      <c r="L130" s="40">
        <f t="shared" si="68"/>
        <v>0</v>
      </c>
      <c r="M130" s="9" t="str">
        <f t="shared" si="69"/>
        <v/>
      </c>
      <c r="N130" s="9" t="str">
        <f t="shared" si="70"/>
        <v/>
      </c>
      <c r="O130" s="40" t="e">
        <f t="shared" si="71"/>
        <v>#VALUE!</v>
      </c>
      <c r="P130" s="41">
        <f t="shared" si="72"/>
        <v>0</v>
      </c>
      <c r="Q130" s="33">
        <f t="shared" si="73"/>
        <v>0</v>
      </c>
      <c r="R130" s="23" t="e">
        <f t="shared" si="74"/>
        <v>#VALUE!</v>
      </c>
      <c r="S130" s="8" t="e">
        <f t="shared" si="75"/>
        <v>#VALUE!</v>
      </c>
    </row>
    <row r="131" spans="1:19" ht="24" customHeight="1" x14ac:dyDescent="0.25">
      <c r="A131" s="4"/>
      <c r="B131" s="5"/>
      <c r="C131" s="5"/>
      <c r="D131" s="6">
        <f t="shared" si="0"/>
        <v>0</v>
      </c>
      <c r="E131" s="43">
        <f t="shared" si="61"/>
        <v>0</v>
      </c>
      <c r="F131" s="20">
        <f t="shared" si="62"/>
        <v>0</v>
      </c>
      <c r="G131" s="21">
        <f t="shared" si="63"/>
        <v>0</v>
      </c>
      <c r="H131" s="7" t="str">
        <f t="shared" si="64"/>
        <v/>
      </c>
      <c r="I131" s="9">
        <f t="shared" si="65"/>
        <v>0</v>
      </c>
      <c r="J131" s="9">
        <f t="shared" si="66"/>
        <v>0</v>
      </c>
      <c r="K131" s="9">
        <f t="shared" si="67"/>
        <v>0</v>
      </c>
      <c r="L131" s="40">
        <f t="shared" si="68"/>
        <v>0</v>
      </c>
      <c r="M131" s="9" t="str">
        <f t="shared" si="69"/>
        <v/>
      </c>
      <c r="N131" s="9" t="str">
        <f t="shared" si="70"/>
        <v/>
      </c>
      <c r="O131" s="40" t="e">
        <f t="shared" si="71"/>
        <v>#VALUE!</v>
      </c>
      <c r="P131" s="41">
        <f t="shared" si="72"/>
        <v>0</v>
      </c>
      <c r="Q131" s="33">
        <f t="shared" si="73"/>
        <v>0</v>
      </c>
      <c r="R131" s="23" t="e">
        <f t="shared" si="74"/>
        <v>#VALUE!</v>
      </c>
      <c r="S131" s="8" t="e">
        <f t="shared" si="75"/>
        <v>#VALUE!</v>
      </c>
    </row>
    <row r="132" spans="1:19" ht="24" customHeight="1" x14ac:dyDescent="0.25">
      <c r="A132" s="4"/>
      <c r="B132" s="5"/>
      <c r="C132" s="5"/>
      <c r="D132" s="6">
        <f t="shared" si="0"/>
        <v>0</v>
      </c>
      <c r="E132" s="43">
        <f t="shared" si="61"/>
        <v>0</v>
      </c>
      <c r="F132" s="20">
        <f t="shared" si="62"/>
        <v>0</v>
      </c>
      <c r="G132" s="21">
        <f t="shared" si="63"/>
        <v>0</v>
      </c>
      <c r="H132" s="7" t="str">
        <f t="shared" si="64"/>
        <v/>
      </c>
      <c r="I132" s="9">
        <f t="shared" si="65"/>
        <v>0</v>
      </c>
      <c r="J132" s="9">
        <f t="shared" si="66"/>
        <v>0</v>
      </c>
      <c r="K132" s="9">
        <f t="shared" si="67"/>
        <v>0</v>
      </c>
      <c r="L132" s="40">
        <f t="shared" si="68"/>
        <v>0</v>
      </c>
      <c r="M132" s="9" t="str">
        <f t="shared" si="69"/>
        <v/>
      </c>
      <c r="N132" s="9" t="str">
        <f t="shared" si="70"/>
        <v/>
      </c>
      <c r="O132" s="40" t="e">
        <f t="shared" si="71"/>
        <v>#VALUE!</v>
      </c>
      <c r="P132" s="41">
        <f t="shared" si="72"/>
        <v>0</v>
      </c>
      <c r="Q132" s="33">
        <f t="shared" si="73"/>
        <v>0</v>
      </c>
      <c r="R132" s="23" t="e">
        <f t="shared" si="74"/>
        <v>#VALUE!</v>
      </c>
      <c r="S132" s="8" t="e">
        <f t="shared" si="75"/>
        <v>#VALUE!</v>
      </c>
    </row>
    <row r="133" spans="1:19" ht="24" customHeight="1" x14ac:dyDescent="0.25">
      <c r="A133" s="4"/>
      <c r="B133" s="5"/>
      <c r="C133" s="5"/>
      <c r="D133" s="6">
        <f t="shared" si="0"/>
        <v>0</v>
      </c>
      <c r="E133" s="43">
        <f t="shared" si="61"/>
        <v>0</v>
      </c>
      <c r="F133" s="20">
        <f t="shared" si="62"/>
        <v>0</v>
      </c>
      <c r="G133" s="21">
        <f t="shared" si="63"/>
        <v>0</v>
      </c>
      <c r="H133" s="7" t="str">
        <f t="shared" si="64"/>
        <v/>
      </c>
      <c r="I133" s="9">
        <f t="shared" si="65"/>
        <v>0</v>
      </c>
      <c r="J133" s="9">
        <f t="shared" si="66"/>
        <v>0</v>
      </c>
      <c r="K133" s="9">
        <f t="shared" si="67"/>
        <v>0</v>
      </c>
      <c r="L133" s="40">
        <f t="shared" si="68"/>
        <v>0</v>
      </c>
      <c r="M133" s="9" t="str">
        <f t="shared" si="69"/>
        <v/>
      </c>
      <c r="N133" s="9" t="str">
        <f t="shared" si="70"/>
        <v/>
      </c>
      <c r="O133" s="40" t="e">
        <f t="shared" si="71"/>
        <v>#VALUE!</v>
      </c>
      <c r="P133" s="41">
        <f t="shared" si="72"/>
        <v>0</v>
      </c>
      <c r="Q133" s="33">
        <f t="shared" si="73"/>
        <v>0</v>
      </c>
      <c r="R133" s="23" t="e">
        <f t="shared" si="74"/>
        <v>#VALUE!</v>
      </c>
      <c r="S133" s="8" t="e">
        <f t="shared" si="75"/>
        <v>#VALUE!</v>
      </c>
    </row>
    <row r="134" spans="1:19" ht="24" customHeight="1" x14ac:dyDescent="0.25">
      <c r="A134" s="4"/>
      <c r="B134" s="5"/>
      <c r="C134" s="5"/>
      <c r="D134" s="6">
        <f t="shared" si="0"/>
        <v>0</v>
      </c>
      <c r="E134" s="43">
        <f t="shared" si="61"/>
        <v>0</v>
      </c>
      <c r="F134" s="20">
        <f t="shared" si="62"/>
        <v>0</v>
      </c>
      <c r="G134" s="21">
        <f t="shared" si="63"/>
        <v>0</v>
      </c>
      <c r="H134" s="7" t="str">
        <f t="shared" si="64"/>
        <v/>
      </c>
      <c r="I134" s="9">
        <f t="shared" si="65"/>
        <v>0</v>
      </c>
      <c r="J134" s="9">
        <f t="shared" si="66"/>
        <v>0</v>
      </c>
      <c r="K134" s="9">
        <f t="shared" si="67"/>
        <v>0</v>
      </c>
      <c r="L134" s="40">
        <f t="shared" si="68"/>
        <v>0</v>
      </c>
      <c r="M134" s="9" t="str">
        <f t="shared" si="69"/>
        <v/>
      </c>
      <c r="N134" s="9" t="str">
        <f t="shared" si="70"/>
        <v/>
      </c>
      <c r="O134" s="40" t="e">
        <f t="shared" si="71"/>
        <v>#VALUE!</v>
      </c>
      <c r="P134" s="41">
        <f t="shared" si="72"/>
        <v>0</v>
      </c>
      <c r="Q134" s="33">
        <f t="shared" si="73"/>
        <v>0</v>
      </c>
      <c r="R134" s="23" t="e">
        <f t="shared" si="74"/>
        <v>#VALUE!</v>
      </c>
      <c r="S134" s="8" t="e">
        <f t="shared" si="75"/>
        <v>#VALUE!</v>
      </c>
    </row>
    <row r="135" spans="1:19" ht="24" customHeight="1" x14ac:dyDescent="0.25">
      <c r="A135" s="4"/>
      <c r="B135" s="5"/>
      <c r="C135" s="5"/>
      <c r="D135" s="6">
        <f t="shared" si="0"/>
        <v>0</v>
      </c>
      <c r="E135" s="43">
        <f>(A135+B135)*2*C135/9.29*1.2/21</f>
        <v>0</v>
      </c>
      <c r="F135" s="20">
        <f>(A135+B135)*2*C135/9.29*1.2/10.76</f>
        <v>0</v>
      </c>
      <c r="G135" s="21">
        <f>(A135+B135)*2*C135/9.29*1.2</f>
        <v>0</v>
      </c>
      <c r="H135" s="7" t="str">
        <f>IF(A135=0,"",IF(A135&lt;31,"26#",IF(A135&lt;76,"24#",IF(A135&lt;151,"22#",IF(A135&lt;225,"20#",IF(A135&lt;300,"18#"))))))</f>
        <v/>
      </c>
      <c r="I135" s="9">
        <f>((A135+B135)*2*7.85*C135)/100</f>
        <v>0</v>
      </c>
      <c r="J135" s="9">
        <f>(C135/1.2)*8</f>
        <v>0</v>
      </c>
      <c r="K135" s="9">
        <f>(((A135+B135)*2)/15)*D135</f>
        <v>0</v>
      </c>
      <c r="L135" s="40">
        <f>(((A135+B135)*2)*D135)/100</f>
        <v>0</v>
      </c>
      <c r="M135" s="9" t="str">
        <f>IF(A135=0,"",IF(A135&lt;75,"0",IF(A135&lt;150,"1",IF(A135&lt;300,"2",IF(A135&lt;450,"3")))))</f>
        <v/>
      </c>
      <c r="N135" s="9" t="str">
        <f>IF(B135=0,"",IF(B135&lt;75,"0",IF(B135&lt;150,"1",IF(B135&lt;300,"2"))))</f>
        <v/>
      </c>
      <c r="O135" s="40" t="e">
        <f>(((B135/100)*M135)+((A135/100)*N135))*D135</f>
        <v>#VALUE!</v>
      </c>
      <c r="P135" s="41">
        <f>(C135/2.2)*((A135+10)/100)</f>
        <v>0</v>
      </c>
      <c r="Q135" s="33">
        <f>C135/2.2</f>
        <v>0</v>
      </c>
      <c r="R135" s="23" t="e">
        <f>(M135*N135)*D135</f>
        <v>#VALUE!</v>
      </c>
      <c r="S135" s="8" t="e">
        <f>((M135+N135)*4)*D135</f>
        <v>#VALUE!</v>
      </c>
    </row>
    <row r="136" spans="1:19" ht="24" customHeight="1" x14ac:dyDescent="0.25">
      <c r="A136" s="4"/>
      <c r="B136" s="5"/>
      <c r="C136" s="5"/>
      <c r="D136" s="6">
        <f t="shared" si="0"/>
        <v>0</v>
      </c>
      <c r="E136" s="43">
        <f>(A136+B136)*2*C136/9.29*1.2/21</f>
        <v>0</v>
      </c>
      <c r="F136" s="20">
        <f>(A136+B136)*2*C136/9.29*1.2/10.76</f>
        <v>0</v>
      </c>
      <c r="G136" s="21">
        <f>(A136+B136)*2*C136/9.29*1.2</f>
        <v>0</v>
      </c>
      <c r="H136" s="7" t="str">
        <f>IF(A136=0,"",IF(A136&lt;31,"26#",IF(A136&lt;76,"24#",IF(A136&lt;151,"22#",IF(A136&lt;225,"20#",IF(A136&lt;300,"18#"))))))</f>
        <v/>
      </c>
      <c r="I136" s="9">
        <f>((A136+B136)*2*7.85*C136)/100</f>
        <v>0</v>
      </c>
      <c r="J136" s="9">
        <f>(C136/1.2)*8</f>
        <v>0</v>
      </c>
      <c r="K136" s="9">
        <f>(((A136+B136)*2)/15)*D136</f>
        <v>0</v>
      </c>
      <c r="L136" s="40">
        <f>(((A136+B136)*2)*D136)/100</f>
        <v>0</v>
      </c>
      <c r="M136" s="9" t="str">
        <f>IF(A136=0,"",IF(A136&lt;75,"0",IF(A136&lt;150,"1",IF(A136&lt;300,"2",IF(A136&lt;450,"3")))))</f>
        <v/>
      </c>
      <c r="N136" s="9" t="str">
        <f>IF(B136=0,"",IF(B136&lt;75,"0",IF(B136&lt;150,"1",IF(B136&lt;300,"2"))))</f>
        <v/>
      </c>
      <c r="O136" s="40" t="e">
        <f>(((B136/100)*M136)+((A136/100)*N136))*D136</f>
        <v>#VALUE!</v>
      </c>
      <c r="P136" s="41">
        <f>(C136/2.2)*((A136+10)/100)</f>
        <v>0</v>
      </c>
      <c r="Q136" s="33">
        <f>C136/2.2</f>
        <v>0</v>
      </c>
      <c r="R136" s="23" t="e">
        <f>(M136*N136)*D136</f>
        <v>#VALUE!</v>
      </c>
      <c r="S136" s="8" t="e">
        <f>((M136+N136)*4)*D136</f>
        <v>#VALUE!</v>
      </c>
    </row>
    <row r="137" spans="1:19" ht="24" customHeight="1" x14ac:dyDescent="0.25">
      <c r="A137" s="4"/>
      <c r="B137" s="5"/>
      <c r="C137" s="5"/>
      <c r="D137" s="6">
        <f t="shared" si="0"/>
        <v>0</v>
      </c>
      <c r="E137" s="43">
        <f>(A137+B137)*2*C137/9.29*1.2/21</f>
        <v>0</v>
      </c>
      <c r="F137" s="20">
        <f>(A137+B137)*2*C137/9.29*1.2/10.76</f>
        <v>0</v>
      </c>
      <c r="G137" s="21">
        <f>(A137+B137)*2*C137/9.29*1.2</f>
        <v>0</v>
      </c>
      <c r="H137" s="7" t="str">
        <f>IF(A137=0,"",IF(A137&lt;31,"26#",IF(A137&lt;76,"24#",IF(A137&lt;151,"22#",IF(A137&lt;225,"20#",IF(A137&lt;300,"18#"))))))</f>
        <v/>
      </c>
      <c r="I137" s="9">
        <f>((A137+B137)*2*7.85*C137)/100</f>
        <v>0</v>
      </c>
      <c r="J137" s="9">
        <f>(C137/1.2)*8</f>
        <v>0</v>
      </c>
      <c r="K137" s="9">
        <f>(((A137+B137)*2)/15)*D137</f>
        <v>0</v>
      </c>
      <c r="L137" s="40">
        <f>(((A137+B137)*2)*D137)/100</f>
        <v>0</v>
      </c>
      <c r="M137" s="9" t="str">
        <f>IF(A137=0,"",IF(A137&lt;75,"0",IF(A137&lt;150,"1",IF(A137&lt;300,"2",IF(A137&lt;450,"3")))))</f>
        <v/>
      </c>
      <c r="N137" s="9" t="str">
        <f>IF(B137=0,"",IF(B137&lt;75,"0",IF(B137&lt;150,"1",IF(B137&lt;300,"2"))))</f>
        <v/>
      </c>
      <c r="O137" s="40" t="e">
        <f>(((B137/100)*M137)+((A137/100)*N137))*D137</f>
        <v>#VALUE!</v>
      </c>
      <c r="P137" s="41">
        <f>(C137/2.2)*((A137+10)/100)</f>
        <v>0</v>
      </c>
      <c r="Q137" s="33">
        <f>C137/2.2</f>
        <v>0</v>
      </c>
      <c r="R137" s="23" t="e">
        <f>(M137*N137)*D137</f>
        <v>#VALUE!</v>
      </c>
      <c r="S137" s="8" t="e">
        <f>((M137+N137)*4)*D137</f>
        <v>#VALUE!</v>
      </c>
    </row>
    <row r="138" spans="1:19" ht="24" customHeight="1" x14ac:dyDescent="0.25">
      <c r="A138" s="4"/>
      <c r="B138" s="5"/>
      <c r="C138" s="5"/>
      <c r="D138" s="5"/>
      <c r="E138" s="44"/>
      <c r="F138" s="10"/>
      <c r="G138" s="21"/>
      <c r="H138" s="7"/>
      <c r="I138" s="12"/>
      <c r="J138" s="12"/>
      <c r="K138" s="12"/>
      <c r="L138" s="8"/>
      <c r="M138" s="8"/>
      <c r="N138" s="8"/>
      <c r="O138" s="8"/>
      <c r="P138" s="12"/>
      <c r="Q138" s="34"/>
      <c r="R138" s="25"/>
      <c r="S138" s="22"/>
    </row>
    <row r="139" spans="1:19" ht="24" customHeight="1" x14ac:dyDescent="0.25">
      <c r="A139" s="68" t="s">
        <v>25</v>
      </c>
      <c r="B139" s="69"/>
      <c r="C139" s="24">
        <f t="shared" ref="C139:S139" si="76">SUM(C9:C138)</f>
        <v>19</v>
      </c>
      <c r="D139" s="24">
        <f t="shared" si="76"/>
        <v>15.833333333333336</v>
      </c>
      <c r="E139" s="24">
        <f t="shared" si="76"/>
        <v>22.143626018760575</v>
      </c>
      <c r="F139" s="24">
        <f t="shared" si="76"/>
        <v>43.21711397713495</v>
      </c>
      <c r="G139" s="24">
        <f t="shared" si="76"/>
        <v>465.01614639397201</v>
      </c>
      <c r="H139" s="24">
        <f t="shared" si="76"/>
        <v>0</v>
      </c>
      <c r="I139" s="24">
        <f t="shared" si="76"/>
        <v>282.60000000000002</v>
      </c>
      <c r="J139" s="24">
        <f t="shared" si="76"/>
        <v>126.66666666666669</v>
      </c>
      <c r="K139" s="24">
        <f t="shared" si="76"/>
        <v>200.00000000000003</v>
      </c>
      <c r="L139" s="24">
        <f t="shared" si="76"/>
        <v>30.000000000000004</v>
      </c>
      <c r="M139" s="24">
        <f t="shared" si="76"/>
        <v>0</v>
      </c>
      <c r="N139" s="24">
        <f t="shared" si="76"/>
        <v>0</v>
      </c>
      <c r="O139" s="24" t="e">
        <f t="shared" si="76"/>
        <v>#VALUE!</v>
      </c>
      <c r="P139" s="24">
        <f t="shared" si="76"/>
        <v>6.3181818181818183</v>
      </c>
      <c r="Q139" s="24">
        <f t="shared" si="76"/>
        <v>8.6363636363636367</v>
      </c>
      <c r="R139" s="24" t="e">
        <f t="shared" si="76"/>
        <v>#VALUE!</v>
      </c>
      <c r="S139" s="24" t="e">
        <f t="shared" si="76"/>
        <v>#VALUE!</v>
      </c>
    </row>
    <row r="140" spans="1:19" ht="24" customHeight="1" x14ac:dyDescent="0.25">
      <c r="A140" s="4"/>
      <c r="B140" s="5"/>
      <c r="C140" s="5"/>
      <c r="D140" s="5"/>
      <c r="E140" s="10">
        <f>(A140+B140)*2*C140/9.29*1.2/21</f>
        <v>0</v>
      </c>
      <c r="F140" s="10">
        <f>(A140+B140)*2*C140/9.29*1.2/10.76</f>
        <v>0</v>
      </c>
      <c r="G140" s="11">
        <f>(A140+B140)*2*C140/9.29*1.2</f>
        <v>0</v>
      </c>
      <c r="H140" s="7" t="str">
        <f>IF(A140=0,"",IF(A140&lt;31,"26#",IF(A140&lt;76,"24#",IF(A140&lt;151,"22#",IF(A140&lt;181,"20#",IF(A140&lt;300,"18#"))))))</f>
        <v/>
      </c>
      <c r="I140" s="12">
        <f>((A140+B140)*2*7.85*C140)/100</f>
        <v>0</v>
      </c>
      <c r="J140" s="12"/>
      <c r="K140" s="12"/>
      <c r="L140" s="8"/>
      <c r="M140" s="8"/>
      <c r="N140" s="8"/>
      <c r="O140" s="8"/>
      <c r="P140" s="12"/>
      <c r="Q140" s="34"/>
      <c r="R140" s="25"/>
      <c r="S140" s="22"/>
    </row>
    <row r="141" spans="1:19" ht="24" customHeight="1" x14ac:dyDescent="0.25">
      <c r="A141" s="61" t="s">
        <v>26</v>
      </c>
      <c r="B141" s="62"/>
      <c r="C141" s="63"/>
      <c r="D141" s="13"/>
      <c r="E141" s="14"/>
      <c r="F141" s="15"/>
      <c r="G141" s="15"/>
      <c r="H141" s="16"/>
      <c r="I141" s="12"/>
      <c r="J141" s="12"/>
      <c r="K141" s="12"/>
      <c r="L141" s="12"/>
      <c r="M141" s="12"/>
      <c r="N141" s="12"/>
      <c r="O141" s="12"/>
      <c r="P141" s="17"/>
      <c r="Q141" s="35"/>
      <c r="R141" s="25"/>
      <c r="S141" s="22"/>
    </row>
  </sheetData>
  <mergeCells count="10">
    <mergeCell ref="A3:P3"/>
    <mergeCell ref="A4:P5"/>
    <mergeCell ref="A1:P1"/>
    <mergeCell ref="A2:P2"/>
    <mergeCell ref="A141:C141"/>
    <mergeCell ref="A7:E7"/>
    <mergeCell ref="A6:E6"/>
    <mergeCell ref="F6:H6"/>
    <mergeCell ref="F7:P7"/>
    <mergeCell ref="A139:B139"/>
  </mergeCells>
  <phoneticPr fontId="1" type="noConversion"/>
  <printOptions horizontalCentered="1" verticalCentered="1"/>
  <pageMargins left="0.39370078740157483" right="0.39370078740157483" top="0.39370078740157483" bottom="0.39370078740157483" header="0" footer="0"/>
  <pageSetup paperSize="9" scale="6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S35"/>
  <sheetViews>
    <sheetView showZeros="0" view="pageBreakPreview" zoomScale="55" zoomScaleNormal="75" zoomScaleSheetLayoutView="100" workbookViewId="0">
      <pane xSplit="19" ySplit="8" topLeftCell="T9" activePane="bottomRight" state="frozen"/>
      <selection pane="topRight" activeCell="T1" sqref="T1"/>
      <selection pane="bottomLeft" activeCell="A9" sqref="A9"/>
      <selection pane="bottomRight" activeCell="C14" sqref="A9:C14"/>
    </sheetView>
  </sheetViews>
  <sheetFormatPr defaultRowHeight="24" customHeight="1" x14ac:dyDescent="0.25"/>
  <cols>
    <col min="1" max="1" width="7.75" style="2" customWidth="1"/>
    <col min="2" max="2" width="7.375" style="2" customWidth="1"/>
    <col min="3" max="3" width="9.5" style="2" customWidth="1"/>
    <col min="4" max="4" width="9.625" style="2" customWidth="1"/>
    <col min="5" max="5" width="12.125" style="2" customWidth="1"/>
    <col min="6" max="6" width="12.5" style="2" customWidth="1"/>
    <col min="7" max="7" width="13.5" style="2" customWidth="1"/>
    <col min="8" max="8" width="10.625" style="2" customWidth="1"/>
    <col min="9" max="9" width="11.75" style="2" customWidth="1"/>
    <col min="10" max="10" width="10.625" style="2" customWidth="1"/>
    <col min="11" max="11" width="11.125" style="2" customWidth="1"/>
    <col min="12" max="12" width="10.625" style="2" customWidth="1"/>
    <col min="13" max="13" width="11.5" style="2" customWidth="1"/>
    <col min="14" max="14" width="10.75" style="2" customWidth="1"/>
    <col min="15" max="15" width="11.5" style="2" customWidth="1"/>
    <col min="16" max="16" width="9.75" style="2" customWidth="1"/>
    <col min="17" max="18" width="11.5" style="2" customWidth="1"/>
    <col min="19" max="19" width="12.375" style="2" customWidth="1"/>
    <col min="20" max="16384" width="9" style="2"/>
  </cols>
  <sheetData>
    <row r="1" spans="1:19" ht="50.1" customHeight="1" x14ac:dyDescent="0.25">
      <c r="A1" s="60" t="s">
        <v>27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30"/>
    </row>
    <row r="2" spans="1:19" ht="24" customHeight="1" x14ac:dyDescent="0.25">
      <c r="A2" s="58" t="s">
        <v>28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8"/>
    </row>
    <row r="3" spans="1:19" ht="24" customHeight="1" x14ac:dyDescent="0.25">
      <c r="A3" s="58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8"/>
    </row>
    <row r="4" spans="1:19" ht="28.5" customHeight="1" x14ac:dyDescent="0.25">
      <c r="A4" s="59" t="s">
        <v>55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29"/>
    </row>
    <row r="5" spans="1:19" ht="24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29"/>
    </row>
    <row r="6" spans="1:19" ht="24" customHeight="1" x14ac:dyDescent="0.25">
      <c r="A6" s="65" t="s">
        <v>30</v>
      </c>
      <c r="B6" s="65"/>
      <c r="C6" s="65"/>
      <c r="D6" s="65"/>
      <c r="E6" s="65"/>
      <c r="F6" s="66"/>
      <c r="G6" s="66"/>
      <c r="H6" s="66"/>
      <c r="I6" s="18"/>
      <c r="J6" s="18"/>
      <c r="K6" s="18"/>
      <c r="L6" s="18"/>
      <c r="M6" s="18"/>
      <c r="N6" s="18"/>
      <c r="O6" s="18"/>
      <c r="P6" s="18"/>
      <c r="Q6" s="18"/>
    </row>
    <row r="7" spans="1:19" ht="24" customHeight="1" x14ac:dyDescent="0.25">
      <c r="A7" s="64" t="s">
        <v>31</v>
      </c>
      <c r="B7" s="64"/>
      <c r="C7" s="64"/>
      <c r="D7" s="64"/>
      <c r="E7" s="64"/>
      <c r="F7" s="67" t="s">
        <v>32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32"/>
    </row>
    <row r="8" spans="1:19" s="1" customFormat="1" ht="24" customHeight="1" x14ac:dyDescent="0.25">
      <c r="A8" s="37" t="s">
        <v>33</v>
      </c>
      <c r="B8" s="37" t="s">
        <v>34</v>
      </c>
      <c r="C8" s="37" t="s">
        <v>35</v>
      </c>
      <c r="D8" s="37" t="s">
        <v>36</v>
      </c>
      <c r="E8" s="42" t="s">
        <v>37</v>
      </c>
      <c r="F8" s="37" t="s">
        <v>38</v>
      </c>
      <c r="G8" s="38" t="s">
        <v>39</v>
      </c>
      <c r="H8" s="37" t="s">
        <v>40</v>
      </c>
      <c r="I8" s="39" t="s">
        <v>41</v>
      </c>
      <c r="J8" s="39" t="s">
        <v>42</v>
      </c>
      <c r="K8" s="39" t="s">
        <v>43</v>
      </c>
      <c r="L8" s="39" t="s">
        <v>44</v>
      </c>
      <c r="M8" s="19" t="s">
        <v>45</v>
      </c>
      <c r="N8" s="19" t="s">
        <v>46</v>
      </c>
      <c r="O8" s="31" t="s">
        <v>47</v>
      </c>
      <c r="P8" s="3" t="s">
        <v>48</v>
      </c>
      <c r="Q8" s="36" t="s">
        <v>49</v>
      </c>
      <c r="R8" s="27" t="s">
        <v>50</v>
      </c>
      <c r="S8" s="26" t="s">
        <v>51</v>
      </c>
    </row>
    <row r="9" spans="1:19" s="1" customFormat="1" ht="24" customHeight="1" x14ac:dyDescent="0.25">
      <c r="A9" s="4"/>
      <c r="B9" s="5"/>
      <c r="C9" s="5"/>
      <c r="D9" s="6">
        <f t="shared" ref="D9:D31" si="0">C9/1.2</f>
        <v>0</v>
      </c>
      <c r="E9" s="43">
        <f t="shared" ref="E9:E31" si="1">(A9+B9)*2*C9/9.29*1.2/21</f>
        <v>0</v>
      </c>
      <c r="F9" s="20">
        <f t="shared" ref="F9:F31" si="2">(A9+B9)*2*C9/9.29*1.2/10.76</f>
        <v>0</v>
      </c>
      <c r="G9" s="21">
        <f t="shared" ref="G9:G31" si="3">(A9+B9)*2*C9/9.29*1.2</f>
        <v>0</v>
      </c>
      <c r="H9" s="7" t="str">
        <f t="shared" ref="H9:H31" si="4">IF(A9=0,"",IF(A9&lt;31,"26#",IF(A9&lt;76,"24#",IF(A9&lt;151,"22#",IF(A9&lt;225,"20#",IF(A9&lt;300,"18#"))))))</f>
        <v/>
      </c>
      <c r="I9" s="9">
        <f t="shared" ref="I9:I31" si="5">((A9+B9)*2*7.85*C9)/100</f>
        <v>0</v>
      </c>
      <c r="J9" s="9">
        <f t="shared" ref="J9:J31" si="6">(C9/1.2)*8</f>
        <v>0</v>
      </c>
      <c r="K9" s="9">
        <f t="shared" ref="K9:K31" si="7">(((A9+B9)*2)/15)*D9</f>
        <v>0</v>
      </c>
      <c r="L9" s="40">
        <f t="shared" ref="L9:L31" si="8">(((A9+B9)*2)*D9)/100</f>
        <v>0</v>
      </c>
      <c r="M9" s="9" t="str">
        <f t="shared" ref="M9:M31" si="9">IF(A9=0,"",IF(A9&lt;75,"0",IF(A9&lt;150,"1",IF(A9&lt;300,"2",IF(A9&lt;450,"3")))))</f>
        <v/>
      </c>
      <c r="N9" s="9" t="str">
        <f t="shared" ref="N9:N31" si="10">IF(B9=0,"",IF(B9&lt;75,"0",IF(B9&lt;150,"1",IF(B9&lt;300,"2"))))</f>
        <v/>
      </c>
      <c r="O9" s="40" t="e">
        <f t="shared" ref="O9:O31" si="11">(((B9/100)*M9)+((A9/100)*N9))*D9</f>
        <v>#VALUE!</v>
      </c>
      <c r="P9" s="41">
        <f t="shared" ref="P9:P24" si="12">(C9/2.2)*(A9/100)</f>
        <v>0</v>
      </c>
      <c r="Q9" s="33">
        <f t="shared" ref="Q9:Q31" si="13">C9/2.2</f>
        <v>0</v>
      </c>
      <c r="R9" s="23" t="e">
        <f t="shared" ref="R9:R31" si="14">(M9*N9)*D9</f>
        <v>#VALUE!</v>
      </c>
      <c r="S9" s="8" t="e">
        <f t="shared" ref="S9:S31" si="15">((M9+N9)*4)*D9</f>
        <v>#VALUE!</v>
      </c>
    </row>
    <row r="10" spans="1:19" ht="24" customHeight="1" x14ac:dyDescent="0.25">
      <c r="A10" s="4"/>
      <c r="B10" s="5"/>
      <c r="C10" s="5"/>
      <c r="D10" s="6">
        <f t="shared" si="0"/>
        <v>0</v>
      </c>
      <c r="E10" s="43">
        <f t="shared" si="1"/>
        <v>0</v>
      </c>
      <c r="F10" s="20">
        <f t="shared" si="2"/>
        <v>0</v>
      </c>
      <c r="G10" s="21">
        <f t="shared" si="3"/>
        <v>0</v>
      </c>
      <c r="H10" s="7" t="str">
        <f t="shared" si="4"/>
        <v/>
      </c>
      <c r="I10" s="9">
        <f t="shared" si="5"/>
        <v>0</v>
      </c>
      <c r="J10" s="9">
        <f t="shared" si="6"/>
        <v>0</v>
      </c>
      <c r="K10" s="9">
        <f t="shared" si="7"/>
        <v>0</v>
      </c>
      <c r="L10" s="40">
        <f t="shared" si="8"/>
        <v>0</v>
      </c>
      <c r="M10" s="9" t="str">
        <f t="shared" si="9"/>
        <v/>
      </c>
      <c r="N10" s="9" t="str">
        <f t="shared" si="10"/>
        <v/>
      </c>
      <c r="O10" s="40" t="e">
        <f t="shared" si="11"/>
        <v>#VALUE!</v>
      </c>
      <c r="P10" s="41">
        <f t="shared" si="12"/>
        <v>0</v>
      </c>
      <c r="Q10" s="33">
        <f t="shared" si="13"/>
        <v>0</v>
      </c>
      <c r="R10" s="23" t="e">
        <f t="shared" si="14"/>
        <v>#VALUE!</v>
      </c>
      <c r="S10" s="8" t="e">
        <f t="shared" si="15"/>
        <v>#VALUE!</v>
      </c>
    </row>
    <row r="11" spans="1:19" ht="24" customHeight="1" x14ac:dyDescent="0.25">
      <c r="A11" s="4"/>
      <c r="B11" s="5"/>
      <c r="C11" s="5"/>
      <c r="D11" s="6">
        <f t="shared" si="0"/>
        <v>0</v>
      </c>
      <c r="E11" s="43">
        <f t="shared" si="1"/>
        <v>0</v>
      </c>
      <c r="F11" s="20">
        <f t="shared" si="2"/>
        <v>0</v>
      </c>
      <c r="G11" s="21">
        <f t="shared" si="3"/>
        <v>0</v>
      </c>
      <c r="H11" s="7" t="str">
        <f t="shared" si="4"/>
        <v/>
      </c>
      <c r="I11" s="9">
        <f t="shared" si="5"/>
        <v>0</v>
      </c>
      <c r="J11" s="9">
        <f t="shared" si="6"/>
        <v>0</v>
      </c>
      <c r="K11" s="9">
        <f t="shared" si="7"/>
        <v>0</v>
      </c>
      <c r="L11" s="40">
        <f t="shared" si="8"/>
        <v>0</v>
      </c>
      <c r="M11" s="9" t="str">
        <f t="shared" si="9"/>
        <v/>
      </c>
      <c r="N11" s="9" t="str">
        <f t="shared" si="10"/>
        <v/>
      </c>
      <c r="O11" s="40" t="e">
        <f t="shared" si="11"/>
        <v>#VALUE!</v>
      </c>
      <c r="P11" s="41">
        <f t="shared" si="12"/>
        <v>0</v>
      </c>
      <c r="Q11" s="33">
        <f t="shared" si="13"/>
        <v>0</v>
      </c>
      <c r="R11" s="23" t="e">
        <f t="shared" si="14"/>
        <v>#VALUE!</v>
      </c>
      <c r="S11" s="8" t="e">
        <f t="shared" si="15"/>
        <v>#VALUE!</v>
      </c>
    </row>
    <row r="12" spans="1:19" ht="24" customHeight="1" x14ac:dyDescent="0.25">
      <c r="A12" s="4"/>
      <c r="B12" s="5"/>
      <c r="C12" s="5"/>
      <c r="D12" s="6">
        <f t="shared" si="0"/>
        <v>0</v>
      </c>
      <c r="E12" s="43">
        <f t="shared" si="1"/>
        <v>0</v>
      </c>
      <c r="F12" s="20">
        <f t="shared" si="2"/>
        <v>0</v>
      </c>
      <c r="G12" s="21">
        <f t="shared" si="3"/>
        <v>0</v>
      </c>
      <c r="H12" s="7" t="str">
        <f t="shared" si="4"/>
        <v/>
      </c>
      <c r="I12" s="9">
        <f t="shared" si="5"/>
        <v>0</v>
      </c>
      <c r="J12" s="9">
        <f t="shared" si="6"/>
        <v>0</v>
      </c>
      <c r="K12" s="9">
        <f t="shared" si="7"/>
        <v>0</v>
      </c>
      <c r="L12" s="40">
        <f t="shared" si="8"/>
        <v>0</v>
      </c>
      <c r="M12" s="9" t="str">
        <f t="shared" si="9"/>
        <v/>
      </c>
      <c r="N12" s="9" t="str">
        <f t="shared" si="10"/>
        <v/>
      </c>
      <c r="O12" s="40" t="e">
        <f t="shared" si="11"/>
        <v>#VALUE!</v>
      </c>
      <c r="P12" s="41">
        <f t="shared" si="12"/>
        <v>0</v>
      </c>
      <c r="Q12" s="33">
        <f t="shared" si="13"/>
        <v>0</v>
      </c>
      <c r="R12" s="23" t="e">
        <f t="shared" si="14"/>
        <v>#VALUE!</v>
      </c>
      <c r="S12" s="8" t="e">
        <f t="shared" si="15"/>
        <v>#VALUE!</v>
      </c>
    </row>
    <row r="13" spans="1:19" ht="24" customHeight="1" x14ac:dyDescent="0.25">
      <c r="A13" s="4"/>
      <c r="B13" s="5"/>
      <c r="C13" s="5"/>
      <c r="D13" s="6">
        <f t="shared" si="0"/>
        <v>0</v>
      </c>
      <c r="E13" s="43">
        <f t="shared" si="1"/>
        <v>0</v>
      </c>
      <c r="F13" s="20">
        <f t="shared" si="2"/>
        <v>0</v>
      </c>
      <c r="G13" s="21">
        <f t="shared" si="3"/>
        <v>0</v>
      </c>
      <c r="H13" s="7" t="str">
        <f t="shared" si="4"/>
        <v/>
      </c>
      <c r="I13" s="9">
        <f t="shared" si="5"/>
        <v>0</v>
      </c>
      <c r="J13" s="9">
        <f t="shared" si="6"/>
        <v>0</v>
      </c>
      <c r="K13" s="9">
        <f t="shared" si="7"/>
        <v>0</v>
      </c>
      <c r="L13" s="40">
        <f t="shared" si="8"/>
        <v>0</v>
      </c>
      <c r="M13" s="9" t="str">
        <f t="shared" si="9"/>
        <v/>
      </c>
      <c r="N13" s="9" t="str">
        <f t="shared" si="10"/>
        <v/>
      </c>
      <c r="O13" s="40" t="e">
        <f t="shared" si="11"/>
        <v>#VALUE!</v>
      </c>
      <c r="P13" s="41">
        <f t="shared" si="12"/>
        <v>0</v>
      </c>
      <c r="Q13" s="33">
        <f t="shared" si="13"/>
        <v>0</v>
      </c>
      <c r="R13" s="23" t="e">
        <f t="shared" si="14"/>
        <v>#VALUE!</v>
      </c>
      <c r="S13" s="8" t="e">
        <f t="shared" si="15"/>
        <v>#VALUE!</v>
      </c>
    </row>
    <row r="14" spans="1:19" ht="24" customHeight="1" x14ac:dyDescent="0.25">
      <c r="A14" s="4"/>
      <c r="B14" s="5"/>
      <c r="C14" s="5"/>
      <c r="D14" s="6">
        <f t="shared" si="0"/>
        <v>0</v>
      </c>
      <c r="E14" s="43">
        <f t="shared" si="1"/>
        <v>0</v>
      </c>
      <c r="F14" s="20">
        <f t="shared" si="2"/>
        <v>0</v>
      </c>
      <c r="G14" s="21">
        <f t="shared" si="3"/>
        <v>0</v>
      </c>
      <c r="H14" s="7" t="str">
        <f t="shared" si="4"/>
        <v/>
      </c>
      <c r="I14" s="9">
        <f t="shared" si="5"/>
        <v>0</v>
      </c>
      <c r="J14" s="9">
        <f t="shared" si="6"/>
        <v>0</v>
      </c>
      <c r="K14" s="9">
        <f t="shared" si="7"/>
        <v>0</v>
      </c>
      <c r="L14" s="40">
        <f t="shared" si="8"/>
        <v>0</v>
      </c>
      <c r="M14" s="9" t="str">
        <f t="shared" si="9"/>
        <v/>
      </c>
      <c r="N14" s="9" t="str">
        <f t="shared" si="10"/>
        <v/>
      </c>
      <c r="O14" s="40" t="e">
        <f t="shared" si="11"/>
        <v>#VALUE!</v>
      </c>
      <c r="P14" s="41">
        <f t="shared" si="12"/>
        <v>0</v>
      </c>
      <c r="Q14" s="33">
        <f t="shared" si="13"/>
        <v>0</v>
      </c>
      <c r="R14" s="23" t="e">
        <f t="shared" si="14"/>
        <v>#VALUE!</v>
      </c>
      <c r="S14" s="8" t="e">
        <f t="shared" si="15"/>
        <v>#VALUE!</v>
      </c>
    </row>
    <row r="15" spans="1:19" ht="24" customHeight="1" x14ac:dyDescent="0.25">
      <c r="A15" s="4"/>
      <c r="B15" s="5"/>
      <c r="C15" s="5"/>
      <c r="D15" s="6">
        <f t="shared" si="0"/>
        <v>0</v>
      </c>
      <c r="E15" s="43">
        <f t="shared" si="1"/>
        <v>0</v>
      </c>
      <c r="F15" s="20">
        <f t="shared" si="2"/>
        <v>0</v>
      </c>
      <c r="G15" s="21">
        <f t="shared" si="3"/>
        <v>0</v>
      </c>
      <c r="H15" s="7" t="str">
        <f t="shared" si="4"/>
        <v/>
      </c>
      <c r="I15" s="9">
        <f t="shared" si="5"/>
        <v>0</v>
      </c>
      <c r="J15" s="9">
        <f t="shared" si="6"/>
        <v>0</v>
      </c>
      <c r="K15" s="9">
        <f t="shared" si="7"/>
        <v>0</v>
      </c>
      <c r="L15" s="40">
        <f t="shared" si="8"/>
        <v>0</v>
      </c>
      <c r="M15" s="9" t="str">
        <f t="shared" si="9"/>
        <v/>
      </c>
      <c r="N15" s="9" t="str">
        <f t="shared" si="10"/>
        <v/>
      </c>
      <c r="O15" s="40" t="e">
        <f t="shared" si="11"/>
        <v>#VALUE!</v>
      </c>
      <c r="P15" s="41">
        <f t="shared" si="12"/>
        <v>0</v>
      </c>
      <c r="Q15" s="33">
        <f t="shared" si="13"/>
        <v>0</v>
      </c>
      <c r="R15" s="23" t="e">
        <f t="shared" si="14"/>
        <v>#VALUE!</v>
      </c>
      <c r="S15" s="8" t="e">
        <f t="shared" si="15"/>
        <v>#VALUE!</v>
      </c>
    </row>
    <row r="16" spans="1:19" ht="24" customHeight="1" x14ac:dyDescent="0.25">
      <c r="A16" s="4"/>
      <c r="B16" s="5"/>
      <c r="C16" s="5"/>
      <c r="D16" s="6">
        <f t="shared" si="0"/>
        <v>0</v>
      </c>
      <c r="E16" s="43">
        <f t="shared" si="1"/>
        <v>0</v>
      </c>
      <c r="F16" s="20">
        <f t="shared" si="2"/>
        <v>0</v>
      </c>
      <c r="G16" s="21">
        <f t="shared" si="3"/>
        <v>0</v>
      </c>
      <c r="H16" s="7" t="str">
        <f t="shared" si="4"/>
        <v/>
      </c>
      <c r="I16" s="9">
        <f t="shared" si="5"/>
        <v>0</v>
      </c>
      <c r="J16" s="9">
        <f t="shared" si="6"/>
        <v>0</v>
      </c>
      <c r="K16" s="9">
        <f t="shared" si="7"/>
        <v>0</v>
      </c>
      <c r="L16" s="40">
        <f t="shared" si="8"/>
        <v>0</v>
      </c>
      <c r="M16" s="9" t="str">
        <f t="shared" si="9"/>
        <v/>
      </c>
      <c r="N16" s="9" t="str">
        <f t="shared" si="10"/>
        <v/>
      </c>
      <c r="O16" s="40" t="e">
        <f t="shared" si="11"/>
        <v>#VALUE!</v>
      </c>
      <c r="P16" s="41">
        <f t="shared" si="12"/>
        <v>0</v>
      </c>
      <c r="Q16" s="33">
        <f t="shared" si="13"/>
        <v>0</v>
      </c>
      <c r="R16" s="23" t="e">
        <f t="shared" si="14"/>
        <v>#VALUE!</v>
      </c>
      <c r="S16" s="8" t="e">
        <f t="shared" si="15"/>
        <v>#VALUE!</v>
      </c>
    </row>
    <row r="17" spans="1:19" ht="24" customHeight="1" x14ac:dyDescent="0.25">
      <c r="A17" s="4"/>
      <c r="B17" s="5"/>
      <c r="C17" s="5"/>
      <c r="D17" s="6">
        <f t="shared" si="0"/>
        <v>0</v>
      </c>
      <c r="E17" s="43">
        <f t="shared" si="1"/>
        <v>0</v>
      </c>
      <c r="F17" s="20">
        <f t="shared" si="2"/>
        <v>0</v>
      </c>
      <c r="G17" s="21">
        <f t="shared" si="3"/>
        <v>0</v>
      </c>
      <c r="H17" s="7" t="str">
        <f t="shared" si="4"/>
        <v/>
      </c>
      <c r="I17" s="9">
        <f t="shared" si="5"/>
        <v>0</v>
      </c>
      <c r="J17" s="9">
        <f t="shared" si="6"/>
        <v>0</v>
      </c>
      <c r="K17" s="9">
        <f t="shared" si="7"/>
        <v>0</v>
      </c>
      <c r="L17" s="40">
        <f t="shared" si="8"/>
        <v>0</v>
      </c>
      <c r="M17" s="9" t="str">
        <f t="shared" si="9"/>
        <v/>
      </c>
      <c r="N17" s="9" t="str">
        <f t="shared" si="10"/>
        <v/>
      </c>
      <c r="O17" s="40" t="e">
        <f t="shared" si="11"/>
        <v>#VALUE!</v>
      </c>
      <c r="P17" s="41">
        <f t="shared" si="12"/>
        <v>0</v>
      </c>
      <c r="Q17" s="33">
        <f t="shared" si="13"/>
        <v>0</v>
      </c>
      <c r="R17" s="23" t="e">
        <f t="shared" si="14"/>
        <v>#VALUE!</v>
      </c>
      <c r="S17" s="8" t="e">
        <f t="shared" si="15"/>
        <v>#VALUE!</v>
      </c>
    </row>
    <row r="18" spans="1:19" ht="24" customHeight="1" x14ac:dyDescent="0.25">
      <c r="A18" s="4"/>
      <c r="B18" s="5"/>
      <c r="C18" s="5"/>
      <c r="D18" s="6">
        <f t="shared" si="0"/>
        <v>0</v>
      </c>
      <c r="E18" s="43">
        <f t="shared" si="1"/>
        <v>0</v>
      </c>
      <c r="F18" s="20">
        <f t="shared" si="2"/>
        <v>0</v>
      </c>
      <c r="G18" s="21">
        <f t="shared" si="3"/>
        <v>0</v>
      </c>
      <c r="H18" s="7" t="str">
        <f t="shared" si="4"/>
        <v/>
      </c>
      <c r="I18" s="9">
        <f t="shared" si="5"/>
        <v>0</v>
      </c>
      <c r="J18" s="9">
        <f t="shared" si="6"/>
        <v>0</v>
      </c>
      <c r="K18" s="9">
        <f t="shared" si="7"/>
        <v>0</v>
      </c>
      <c r="L18" s="40">
        <f t="shared" si="8"/>
        <v>0</v>
      </c>
      <c r="M18" s="9" t="str">
        <f t="shared" si="9"/>
        <v/>
      </c>
      <c r="N18" s="9" t="str">
        <f t="shared" si="10"/>
        <v/>
      </c>
      <c r="O18" s="40" t="e">
        <f t="shared" si="11"/>
        <v>#VALUE!</v>
      </c>
      <c r="P18" s="41">
        <f t="shared" si="12"/>
        <v>0</v>
      </c>
      <c r="Q18" s="33">
        <f t="shared" si="13"/>
        <v>0</v>
      </c>
      <c r="R18" s="23" t="e">
        <f t="shared" si="14"/>
        <v>#VALUE!</v>
      </c>
      <c r="S18" s="8" t="e">
        <f t="shared" si="15"/>
        <v>#VALUE!</v>
      </c>
    </row>
    <row r="19" spans="1:19" ht="24" customHeight="1" x14ac:dyDescent="0.25">
      <c r="A19" s="4"/>
      <c r="B19" s="5"/>
      <c r="C19" s="5"/>
      <c r="D19" s="6">
        <f t="shared" si="0"/>
        <v>0</v>
      </c>
      <c r="E19" s="43">
        <f t="shared" si="1"/>
        <v>0</v>
      </c>
      <c r="F19" s="20">
        <f t="shared" si="2"/>
        <v>0</v>
      </c>
      <c r="G19" s="21">
        <f t="shared" si="3"/>
        <v>0</v>
      </c>
      <c r="H19" s="7" t="str">
        <f t="shared" si="4"/>
        <v/>
      </c>
      <c r="I19" s="9">
        <f t="shared" si="5"/>
        <v>0</v>
      </c>
      <c r="J19" s="9">
        <f t="shared" si="6"/>
        <v>0</v>
      </c>
      <c r="K19" s="9">
        <f t="shared" si="7"/>
        <v>0</v>
      </c>
      <c r="L19" s="40">
        <f t="shared" si="8"/>
        <v>0</v>
      </c>
      <c r="M19" s="9" t="str">
        <f t="shared" si="9"/>
        <v/>
      </c>
      <c r="N19" s="9" t="str">
        <f t="shared" si="10"/>
        <v/>
      </c>
      <c r="O19" s="40" t="e">
        <f t="shared" si="11"/>
        <v>#VALUE!</v>
      </c>
      <c r="P19" s="41">
        <f t="shared" si="12"/>
        <v>0</v>
      </c>
      <c r="Q19" s="33">
        <f t="shared" si="13"/>
        <v>0</v>
      </c>
      <c r="R19" s="23" t="e">
        <f t="shared" si="14"/>
        <v>#VALUE!</v>
      </c>
      <c r="S19" s="8" t="e">
        <f t="shared" si="15"/>
        <v>#VALUE!</v>
      </c>
    </row>
    <row r="20" spans="1:19" ht="24" customHeight="1" x14ac:dyDescent="0.25">
      <c r="A20" s="4"/>
      <c r="B20" s="5"/>
      <c r="C20" s="5"/>
      <c r="D20" s="6">
        <f t="shared" si="0"/>
        <v>0</v>
      </c>
      <c r="E20" s="43">
        <f t="shared" si="1"/>
        <v>0</v>
      </c>
      <c r="F20" s="20">
        <f t="shared" si="2"/>
        <v>0</v>
      </c>
      <c r="G20" s="21">
        <f t="shared" si="3"/>
        <v>0</v>
      </c>
      <c r="H20" s="7" t="str">
        <f t="shared" si="4"/>
        <v/>
      </c>
      <c r="I20" s="9">
        <f t="shared" si="5"/>
        <v>0</v>
      </c>
      <c r="J20" s="9">
        <f t="shared" si="6"/>
        <v>0</v>
      </c>
      <c r="K20" s="9">
        <f t="shared" si="7"/>
        <v>0</v>
      </c>
      <c r="L20" s="40">
        <f t="shared" si="8"/>
        <v>0</v>
      </c>
      <c r="M20" s="9" t="str">
        <f t="shared" si="9"/>
        <v/>
      </c>
      <c r="N20" s="9" t="str">
        <f t="shared" si="10"/>
        <v/>
      </c>
      <c r="O20" s="40" t="e">
        <f t="shared" si="11"/>
        <v>#VALUE!</v>
      </c>
      <c r="P20" s="41">
        <f t="shared" si="12"/>
        <v>0</v>
      </c>
      <c r="Q20" s="33">
        <f t="shared" si="13"/>
        <v>0</v>
      </c>
      <c r="R20" s="23" t="e">
        <f t="shared" si="14"/>
        <v>#VALUE!</v>
      </c>
      <c r="S20" s="8" t="e">
        <f t="shared" si="15"/>
        <v>#VALUE!</v>
      </c>
    </row>
    <row r="21" spans="1:19" ht="24" customHeight="1" x14ac:dyDescent="0.25">
      <c r="A21" s="4"/>
      <c r="B21" s="5"/>
      <c r="C21" s="5"/>
      <c r="D21" s="6">
        <f t="shared" si="0"/>
        <v>0</v>
      </c>
      <c r="E21" s="43">
        <f t="shared" si="1"/>
        <v>0</v>
      </c>
      <c r="F21" s="20">
        <f t="shared" si="2"/>
        <v>0</v>
      </c>
      <c r="G21" s="21">
        <f t="shared" si="3"/>
        <v>0</v>
      </c>
      <c r="H21" s="7" t="str">
        <f t="shared" si="4"/>
        <v/>
      </c>
      <c r="I21" s="9">
        <f t="shared" si="5"/>
        <v>0</v>
      </c>
      <c r="J21" s="9">
        <f t="shared" si="6"/>
        <v>0</v>
      </c>
      <c r="K21" s="9">
        <f t="shared" si="7"/>
        <v>0</v>
      </c>
      <c r="L21" s="40">
        <f t="shared" si="8"/>
        <v>0</v>
      </c>
      <c r="M21" s="9" t="str">
        <f t="shared" si="9"/>
        <v/>
      </c>
      <c r="N21" s="9" t="str">
        <f t="shared" si="10"/>
        <v/>
      </c>
      <c r="O21" s="40" t="e">
        <f t="shared" si="11"/>
        <v>#VALUE!</v>
      </c>
      <c r="P21" s="41">
        <f t="shared" si="12"/>
        <v>0</v>
      </c>
      <c r="Q21" s="33">
        <f t="shared" si="13"/>
        <v>0</v>
      </c>
      <c r="R21" s="23" t="e">
        <f t="shared" si="14"/>
        <v>#VALUE!</v>
      </c>
      <c r="S21" s="8" t="e">
        <f t="shared" si="15"/>
        <v>#VALUE!</v>
      </c>
    </row>
    <row r="22" spans="1:19" ht="24" customHeight="1" x14ac:dyDescent="0.25">
      <c r="A22" s="4"/>
      <c r="B22" s="5"/>
      <c r="C22" s="5"/>
      <c r="D22" s="6">
        <f t="shared" si="0"/>
        <v>0</v>
      </c>
      <c r="E22" s="43">
        <f t="shared" si="1"/>
        <v>0</v>
      </c>
      <c r="F22" s="20">
        <f t="shared" si="2"/>
        <v>0</v>
      </c>
      <c r="G22" s="21">
        <f t="shared" si="3"/>
        <v>0</v>
      </c>
      <c r="H22" s="7" t="str">
        <f t="shared" si="4"/>
        <v/>
      </c>
      <c r="I22" s="9">
        <f t="shared" si="5"/>
        <v>0</v>
      </c>
      <c r="J22" s="9">
        <f t="shared" si="6"/>
        <v>0</v>
      </c>
      <c r="K22" s="9">
        <f t="shared" si="7"/>
        <v>0</v>
      </c>
      <c r="L22" s="40">
        <f t="shared" si="8"/>
        <v>0</v>
      </c>
      <c r="M22" s="9" t="str">
        <f t="shared" si="9"/>
        <v/>
      </c>
      <c r="N22" s="9" t="str">
        <f t="shared" si="10"/>
        <v/>
      </c>
      <c r="O22" s="40" t="e">
        <f t="shared" si="11"/>
        <v>#VALUE!</v>
      </c>
      <c r="P22" s="41">
        <f t="shared" si="12"/>
        <v>0</v>
      </c>
      <c r="Q22" s="33">
        <f t="shared" si="13"/>
        <v>0</v>
      </c>
      <c r="R22" s="23" t="e">
        <f t="shared" si="14"/>
        <v>#VALUE!</v>
      </c>
      <c r="S22" s="8" t="e">
        <f t="shared" si="15"/>
        <v>#VALUE!</v>
      </c>
    </row>
    <row r="23" spans="1:19" ht="24" customHeight="1" x14ac:dyDescent="0.25">
      <c r="A23" s="4"/>
      <c r="B23" s="5"/>
      <c r="C23" s="5"/>
      <c r="D23" s="6">
        <f t="shared" si="0"/>
        <v>0</v>
      </c>
      <c r="E23" s="43">
        <f t="shared" si="1"/>
        <v>0</v>
      </c>
      <c r="F23" s="20">
        <f t="shared" si="2"/>
        <v>0</v>
      </c>
      <c r="G23" s="21">
        <f t="shared" si="3"/>
        <v>0</v>
      </c>
      <c r="H23" s="7" t="str">
        <f t="shared" si="4"/>
        <v/>
      </c>
      <c r="I23" s="9">
        <f t="shared" si="5"/>
        <v>0</v>
      </c>
      <c r="J23" s="9">
        <f t="shared" si="6"/>
        <v>0</v>
      </c>
      <c r="K23" s="9">
        <f t="shared" si="7"/>
        <v>0</v>
      </c>
      <c r="L23" s="40">
        <f t="shared" si="8"/>
        <v>0</v>
      </c>
      <c r="M23" s="9" t="str">
        <f t="shared" si="9"/>
        <v/>
      </c>
      <c r="N23" s="9" t="str">
        <f t="shared" si="10"/>
        <v/>
      </c>
      <c r="O23" s="40" t="e">
        <f t="shared" si="11"/>
        <v>#VALUE!</v>
      </c>
      <c r="P23" s="41">
        <f t="shared" si="12"/>
        <v>0</v>
      </c>
      <c r="Q23" s="33">
        <f t="shared" si="13"/>
        <v>0</v>
      </c>
      <c r="R23" s="23" t="e">
        <f t="shared" si="14"/>
        <v>#VALUE!</v>
      </c>
      <c r="S23" s="8" t="e">
        <f t="shared" si="15"/>
        <v>#VALUE!</v>
      </c>
    </row>
    <row r="24" spans="1:19" ht="24" customHeight="1" x14ac:dyDescent="0.25">
      <c r="A24" s="4"/>
      <c r="B24" s="5"/>
      <c r="C24" s="5"/>
      <c r="D24" s="6">
        <f t="shared" si="0"/>
        <v>0</v>
      </c>
      <c r="E24" s="43">
        <f t="shared" si="1"/>
        <v>0</v>
      </c>
      <c r="F24" s="20">
        <f t="shared" si="2"/>
        <v>0</v>
      </c>
      <c r="G24" s="21">
        <f t="shared" si="3"/>
        <v>0</v>
      </c>
      <c r="H24" s="7" t="str">
        <f t="shared" si="4"/>
        <v/>
      </c>
      <c r="I24" s="9">
        <f t="shared" si="5"/>
        <v>0</v>
      </c>
      <c r="J24" s="9">
        <f t="shared" si="6"/>
        <v>0</v>
      </c>
      <c r="K24" s="9">
        <f t="shared" si="7"/>
        <v>0</v>
      </c>
      <c r="L24" s="40">
        <f t="shared" si="8"/>
        <v>0</v>
      </c>
      <c r="M24" s="9" t="str">
        <f t="shared" si="9"/>
        <v/>
      </c>
      <c r="N24" s="9" t="str">
        <f t="shared" si="10"/>
        <v/>
      </c>
      <c r="O24" s="40" t="e">
        <f t="shared" si="11"/>
        <v>#VALUE!</v>
      </c>
      <c r="P24" s="41">
        <f t="shared" si="12"/>
        <v>0</v>
      </c>
      <c r="Q24" s="33">
        <f t="shared" si="13"/>
        <v>0</v>
      </c>
      <c r="R24" s="23" t="e">
        <f t="shared" si="14"/>
        <v>#VALUE!</v>
      </c>
      <c r="S24" s="8" t="e">
        <f t="shared" si="15"/>
        <v>#VALUE!</v>
      </c>
    </row>
    <row r="25" spans="1:19" ht="24" customHeight="1" x14ac:dyDescent="0.25">
      <c r="A25" s="4"/>
      <c r="B25" s="5"/>
      <c r="C25" s="5"/>
      <c r="D25" s="6">
        <f t="shared" si="0"/>
        <v>0</v>
      </c>
      <c r="E25" s="43">
        <f t="shared" si="1"/>
        <v>0</v>
      </c>
      <c r="F25" s="20">
        <f t="shared" si="2"/>
        <v>0</v>
      </c>
      <c r="G25" s="21">
        <f t="shared" si="3"/>
        <v>0</v>
      </c>
      <c r="H25" s="7" t="str">
        <f t="shared" si="4"/>
        <v/>
      </c>
      <c r="I25" s="9">
        <f t="shared" si="5"/>
        <v>0</v>
      </c>
      <c r="J25" s="9">
        <f t="shared" si="6"/>
        <v>0</v>
      </c>
      <c r="K25" s="9">
        <f t="shared" si="7"/>
        <v>0</v>
      </c>
      <c r="L25" s="40">
        <f t="shared" si="8"/>
        <v>0</v>
      </c>
      <c r="M25" s="9" t="str">
        <f t="shared" si="9"/>
        <v/>
      </c>
      <c r="N25" s="9" t="str">
        <f t="shared" si="10"/>
        <v/>
      </c>
      <c r="O25" s="40" t="e">
        <f t="shared" si="11"/>
        <v>#VALUE!</v>
      </c>
      <c r="P25" s="41">
        <f>(C25/2.2)*((A25+10)/100)</f>
        <v>0</v>
      </c>
      <c r="Q25" s="33">
        <f t="shared" si="13"/>
        <v>0</v>
      </c>
      <c r="R25" s="23" t="e">
        <f t="shared" si="14"/>
        <v>#VALUE!</v>
      </c>
      <c r="S25" s="8" t="e">
        <f t="shared" si="15"/>
        <v>#VALUE!</v>
      </c>
    </row>
    <row r="26" spans="1:19" ht="24" customHeight="1" x14ac:dyDescent="0.25">
      <c r="A26" s="4"/>
      <c r="B26" s="5"/>
      <c r="C26" s="5"/>
      <c r="D26" s="6">
        <f t="shared" si="0"/>
        <v>0</v>
      </c>
      <c r="E26" s="43">
        <f t="shared" si="1"/>
        <v>0</v>
      </c>
      <c r="F26" s="20">
        <f t="shared" si="2"/>
        <v>0</v>
      </c>
      <c r="G26" s="21">
        <f t="shared" si="3"/>
        <v>0</v>
      </c>
      <c r="H26" s="7" t="str">
        <f t="shared" si="4"/>
        <v/>
      </c>
      <c r="I26" s="9">
        <f t="shared" si="5"/>
        <v>0</v>
      </c>
      <c r="J26" s="9">
        <f t="shared" si="6"/>
        <v>0</v>
      </c>
      <c r="K26" s="9">
        <f t="shared" si="7"/>
        <v>0</v>
      </c>
      <c r="L26" s="40">
        <f t="shared" si="8"/>
        <v>0</v>
      </c>
      <c r="M26" s="9" t="str">
        <f t="shared" si="9"/>
        <v/>
      </c>
      <c r="N26" s="9" t="str">
        <f t="shared" si="10"/>
        <v/>
      </c>
      <c r="O26" s="40" t="e">
        <f t="shared" si="11"/>
        <v>#VALUE!</v>
      </c>
      <c r="P26" s="41">
        <f>(C26/2.2)*((A26+10)/100)</f>
        <v>0</v>
      </c>
      <c r="Q26" s="33">
        <f t="shared" si="13"/>
        <v>0</v>
      </c>
      <c r="R26" s="23" t="e">
        <f t="shared" si="14"/>
        <v>#VALUE!</v>
      </c>
      <c r="S26" s="8" t="e">
        <f t="shared" si="15"/>
        <v>#VALUE!</v>
      </c>
    </row>
    <row r="27" spans="1:19" ht="24" customHeight="1" x14ac:dyDescent="0.25">
      <c r="A27" s="4"/>
      <c r="B27" s="5"/>
      <c r="C27" s="5"/>
      <c r="D27" s="6">
        <f t="shared" si="0"/>
        <v>0</v>
      </c>
      <c r="E27" s="43">
        <f t="shared" si="1"/>
        <v>0</v>
      </c>
      <c r="F27" s="20">
        <f t="shared" si="2"/>
        <v>0</v>
      </c>
      <c r="G27" s="21">
        <f t="shared" si="3"/>
        <v>0</v>
      </c>
      <c r="H27" s="7" t="str">
        <f t="shared" si="4"/>
        <v/>
      </c>
      <c r="I27" s="9">
        <f t="shared" si="5"/>
        <v>0</v>
      </c>
      <c r="J27" s="9">
        <f t="shared" si="6"/>
        <v>0</v>
      </c>
      <c r="K27" s="9">
        <f t="shared" si="7"/>
        <v>0</v>
      </c>
      <c r="L27" s="40">
        <f t="shared" si="8"/>
        <v>0</v>
      </c>
      <c r="M27" s="9" t="str">
        <f t="shared" si="9"/>
        <v/>
      </c>
      <c r="N27" s="9" t="str">
        <f t="shared" si="10"/>
        <v/>
      </c>
      <c r="O27" s="40" t="e">
        <f t="shared" si="11"/>
        <v>#VALUE!</v>
      </c>
      <c r="P27" s="41">
        <f>(C27/2.2)*((A27+10)/100)</f>
        <v>0</v>
      </c>
      <c r="Q27" s="33">
        <f t="shared" si="13"/>
        <v>0</v>
      </c>
      <c r="R27" s="23" t="e">
        <f t="shared" si="14"/>
        <v>#VALUE!</v>
      </c>
      <c r="S27" s="8" t="e">
        <f t="shared" si="15"/>
        <v>#VALUE!</v>
      </c>
    </row>
    <row r="28" spans="1:19" s="1" customFormat="1" ht="24" customHeight="1" x14ac:dyDescent="0.25">
      <c r="A28" s="4"/>
      <c r="B28" s="5"/>
      <c r="C28" s="5"/>
      <c r="D28" s="6">
        <f t="shared" si="0"/>
        <v>0</v>
      </c>
      <c r="E28" s="43">
        <f t="shared" si="1"/>
        <v>0</v>
      </c>
      <c r="F28" s="20">
        <f t="shared" si="2"/>
        <v>0</v>
      </c>
      <c r="G28" s="21">
        <f t="shared" si="3"/>
        <v>0</v>
      </c>
      <c r="H28" s="7" t="str">
        <f t="shared" si="4"/>
        <v/>
      </c>
      <c r="I28" s="9">
        <f t="shared" si="5"/>
        <v>0</v>
      </c>
      <c r="J28" s="9">
        <f t="shared" si="6"/>
        <v>0</v>
      </c>
      <c r="K28" s="9">
        <f t="shared" si="7"/>
        <v>0</v>
      </c>
      <c r="L28" s="40">
        <f t="shared" si="8"/>
        <v>0</v>
      </c>
      <c r="M28" s="9" t="str">
        <f t="shared" si="9"/>
        <v/>
      </c>
      <c r="N28" s="9" t="str">
        <f t="shared" si="10"/>
        <v/>
      </c>
      <c r="O28" s="40" t="e">
        <f t="shared" si="11"/>
        <v>#VALUE!</v>
      </c>
      <c r="P28" s="41">
        <f>(C28/2.2)*(A28/100)</f>
        <v>0</v>
      </c>
      <c r="Q28" s="33">
        <f t="shared" si="13"/>
        <v>0</v>
      </c>
      <c r="R28" s="23" t="e">
        <f t="shared" si="14"/>
        <v>#VALUE!</v>
      </c>
      <c r="S28" s="8" t="e">
        <f t="shared" si="15"/>
        <v>#VALUE!</v>
      </c>
    </row>
    <row r="29" spans="1:19" ht="24" customHeight="1" x14ac:dyDescent="0.25">
      <c r="A29" s="4"/>
      <c r="B29" s="5"/>
      <c r="C29" s="5"/>
      <c r="D29" s="6">
        <f t="shared" si="0"/>
        <v>0</v>
      </c>
      <c r="E29" s="43">
        <f t="shared" si="1"/>
        <v>0</v>
      </c>
      <c r="F29" s="20">
        <f t="shared" si="2"/>
        <v>0</v>
      </c>
      <c r="G29" s="21">
        <f t="shared" si="3"/>
        <v>0</v>
      </c>
      <c r="H29" s="7" t="str">
        <f t="shared" si="4"/>
        <v/>
      </c>
      <c r="I29" s="9">
        <f t="shared" si="5"/>
        <v>0</v>
      </c>
      <c r="J29" s="9">
        <f t="shared" si="6"/>
        <v>0</v>
      </c>
      <c r="K29" s="9">
        <f t="shared" si="7"/>
        <v>0</v>
      </c>
      <c r="L29" s="40">
        <f t="shared" si="8"/>
        <v>0</v>
      </c>
      <c r="M29" s="9" t="str">
        <f t="shared" si="9"/>
        <v/>
      </c>
      <c r="N29" s="9" t="str">
        <f t="shared" si="10"/>
        <v/>
      </c>
      <c r="O29" s="40" t="e">
        <f t="shared" si="11"/>
        <v>#VALUE!</v>
      </c>
      <c r="P29" s="41">
        <f>(C29/2.2)*(A29/100)</f>
        <v>0</v>
      </c>
      <c r="Q29" s="33">
        <f t="shared" si="13"/>
        <v>0</v>
      </c>
      <c r="R29" s="23" t="e">
        <f t="shared" si="14"/>
        <v>#VALUE!</v>
      </c>
      <c r="S29" s="8" t="e">
        <f t="shared" si="15"/>
        <v>#VALUE!</v>
      </c>
    </row>
    <row r="30" spans="1:19" ht="24" customHeight="1" x14ac:dyDescent="0.25">
      <c r="A30" s="4"/>
      <c r="B30" s="5"/>
      <c r="C30" s="5"/>
      <c r="D30" s="6">
        <f t="shared" si="0"/>
        <v>0</v>
      </c>
      <c r="E30" s="43">
        <f t="shared" si="1"/>
        <v>0</v>
      </c>
      <c r="F30" s="20">
        <f t="shared" si="2"/>
        <v>0</v>
      </c>
      <c r="G30" s="21">
        <f t="shared" si="3"/>
        <v>0</v>
      </c>
      <c r="H30" s="7" t="str">
        <f t="shared" si="4"/>
        <v/>
      </c>
      <c r="I30" s="9">
        <f t="shared" si="5"/>
        <v>0</v>
      </c>
      <c r="J30" s="9">
        <f t="shared" si="6"/>
        <v>0</v>
      </c>
      <c r="K30" s="9">
        <f t="shared" si="7"/>
        <v>0</v>
      </c>
      <c r="L30" s="40">
        <f t="shared" si="8"/>
        <v>0</v>
      </c>
      <c r="M30" s="9" t="str">
        <f t="shared" si="9"/>
        <v/>
      </c>
      <c r="N30" s="9" t="str">
        <f t="shared" si="10"/>
        <v/>
      </c>
      <c r="O30" s="40" t="e">
        <f t="shared" si="11"/>
        <v>#VALUE!</v>
      </c>
      <c r="P30" s="41">
        <f>(C30/2.2)*(A30/100)</f>
        <v>0</v>
      </c>
      <c r="Q30" s="33">
        <f t="shared" si="13"/>
        <v>0</v>
      </c>
      <c r="R30" s="23" t="e">
        <f t="shared" si="14"/>
        <v>#VALUE!</v>
      </c>
      <c r="S30" s="8" t="e">
        <f t="shared" si="15"/>
        <v>#VALUE!</v>
      </c>
    </row>
    <row r="31" spans="1:19" ht="24" customHeight="1" x14ac:dyDescent="0.25">
      <c r="A31" s="4"/>
      <c r="B31" s="5"/>
      <c r="C31" s="5"/>
      <c r="D31" s="6">
        <f t="shared" si="0"/>
        <v>0</v>
      </c>
      <c r="E31" s="43">
        <f t="shared" si="1"/>
        <v>0</v>
      </c>
      <c r="F31" s="20">
        <f t="shared" si="2"/>
        <v>0</v>
      </c>
      <c r="G31" s="21">
        <f t="shared" si="3"/>
        <v>0</v>
      </c>
      <c r="H31" s="7" t="str">
        <f t="shared" si="4"/>
        <v/>
      </c>
      <c r="I31" s="9">
        <f t="shared" si="5"/>
        <v>0</v>
      </c>
      <c r="J31" s="9">
        <f t="shared" si="6"/>
        <v>0</v>
      </c>
      <c r="K31" s="9">
        <f t="shared" si="7"/>
        <v>0</v>
      </c>
      <c r="L31" s="40">
        <f t="shared" si="8"/>
        <v>0</v>
      </c>
      <c r="M31" s="9" t="str">
        <f t="shared" si="9"/>
        <v/>
      </c>
      <c r="N31" s="9" t="str">
        <f t="shared" si="10"/>
        <v/>
      </c>
      <c r="O31" s="40" t="e">
        <f t="shared" si="11"/>
        <v>#VALUE!</v>
      </c>
      <c r="P31" s="41">
        <f>(C31/2.2)*(A31/100)</f>
        <v>0</v>
      </c>
      <c r="Q31" s="33">
        <f t="shared" si="13"/>
        <v>0</v>
      </c>
      <c r="R31" s="23" t="e">
        <f t="shared" si="14"/>
        <v>#VALUE!</v>
      </c>
      <c r="S31" s="8" t="e">
        <f t="shared" si="15"/>
        <v>#VALUE!</v>
      </c>
    </row>
    <row r="32" spans="1:19" ht="24" customHeight="1" x14ac:dyDescent="0.25">
      <c r="A32" s="4"/>
      <c r="B32" s="5"/>
      <c r="C32" s="5"/>
      <c r="D32" s="5"/>
      <c r="E32" s="44"/>
      <c r="F32" s="10"/>
      <c r="G32" s="21"/>
      <c r="H32" s="7"/>
      <c r="I32" s="12"/>
      <c r="J32" s="12"/>
      <c r="K32" s="12"/>
      <c r="L32" s="8"/>
      <c r="M32" s="8"/>
      <c r="N32" s="8"/>
      <c r="O32" s="8"/>
      <c r="P32" s="12"/>
      <c r="Q32" s="34"/>
      <c r="R32" s="25"/>
      <c r="S32" s="22"/>
    </row>
    <row r="33" spans="1:19" ht="24" customHeight="1" x14ac:dyDescent="0.25">
      <c r="A33" s="68" t="s">
        <v>52</v>
      </c>
      <c r="B33" s="69"/>
      <c r="C33" s="24">
        <f>SUM(C9:C32)</f>
        <v>0</v>
      </c>
      <c r="D33" s="24">
        <f t="shared" ref="D33:S33" si="16">SUM(D9:D32)</f>
        <v>0</v>
      </c>
      <c r="E33" s="24">
        <f t="shared" si="16"/>
        <v>0</v>
      </c>
      <c r="F33" s="24">
        <f t="shared" si="16"/>
        <v>0</v>
      </c>
      <c r="G33" s="24">
        <f t="shared" si="16"/>
        <v>0</v>
      </c>
      <c r="H33" s="24">
        <f t="shared" si="16"/>
        <v>0</v>
      </c>
      <c r="I33" s="24">
        <f t="shared" si="16"/>
        <v>0</v>
      </c>
      <c r="J33" s="24">
        <f t="shared" si="16"/>
        <v>0</v>
      </c>
      <c r="K33" s="24">
        <f t="shared" si="16"/>
        <v>0</v>
      </c>
      <c r="L33" s="24">
        <f t="shared" si="16"/>
        <v>0</v>
      </c>
      <c r="M33" s="24">
        <f t="shared" si="16"/>
        <v>0</v>
      </c>
      <c r="N33" s="24">
        <f t="shared" si="16"/>
        <v>0</v>
      </c>
      <c r="O33" s="24" t="e">
        <f t="shared" si="16"/>
        <v>#VALUE!</v>
      </c>
      <c r="P33" s="24">
        <f t="shared" si="16"/>
        <v>0</v>
      </c>
      <c r="Q33" s="24">
        <f t="shared" si="16"/>
        <v>0</v>
      </c>
      <c r="R33" s="24" t="e">
        <f t="shared" si="16"/>
        <v>#VALUE!</v>
      </c>
      <c r="S33" s="24" t="e">
        <f t="shared" si="16"/>
        <v>#VALUE!</v>
      </c>
    </row>
    <row r="34" spans="1:19" ht="24" customHeight="1" x14ac:dyDescent="0.25">
      <c r="A34" s="4"/>
      <c r="B34" s="5"/>
      <c r="C34" s="5"/>
      <c r="D34" s="5"/>
      <c r="E34" s="10">
        <f>(A34+B34)*2*C34/9.29*1.2/21</f>
        <v>0</v>
      </c>
      <c r="F34" s="10">
        <f>(A34+B34)*2*C34/9.29*1.2/10.76</f>
        <v>0</v>
      </c>
      <c r="G34" s="11">
        <f>(A34+B34)*2*C34/9.29*1.2</f>
        <v>0</v>
      </c>
      <c r="H34" s="7" t="str">
        <f>IF(A34=0,"",IF(A34&lt;31,"26#",IF(A34&lt;76,"24#",IF(A34&lt;151,"22#",IF(A34&lt;181,"20#",IF(A34&lt;300,"18#"))))))</f>
        <v/>
      </c>
      <c r="I34" s="12">
        <f>((A34+B34)*2*7.85*C34)/100</f>
        <v>0</v>
      </c>
      <c r="J34" s="12"/>
      <c r="K34" s="12"/>
      <c r="L34" s="8"/>
      <c r="M34" s="8"/>
      <c r="N34" s="8"/>
      <c r="O34" s="8"/>
      <c r="P34" s="12"/>
      <c r="Q34" s="34"/>
      <c r="R34" s="25"/>
      <c r="S34" s="22"/>
    </row>
    <row r="35" spans="1:19" ht="24" customHeight="1" x14ac:dyDescent="0.25">
      <c r="A35" s="61" t="s">
        <v>53</v>
      </c>
      <c r="B35" s="62"/>
      <c r="C35" s="63"/>
      <c r="D35" s="13"/>
      <c r="E35" s="14"/>
      <c r="F35" s="15"/>
      <c r="G35" s="15"/>
      <c r="H35" s="16"/>
      <c r="I35" s="12"/>
      <c r="J35" s="12"/>
      <c r="K35" s="12"/>
      <c r="L35" s="12"/>
      <c r="M35" s="12"/>
      <c r="N35" s="12"/>
      <c r="O35" s="12"/>
      <c r="P35" s="17"/>
      <c r="Q35" s="35"/>
      <c r="R35" s="25"/>
      <c r="S35" s="22"/>
    </row>
  </sheetData>
  <mergeCells count="10">
    <mergeCell ref="A3:P3"/>
    <mergeCell ref="A4:P5"/>
    <mergeCell ref="A1:P1"/>
    <mergeCell ref="A2:P2"/>
    <mergeCell ref="A35:C35"/>
    <mergeCell ref="A7:E7"/>
    <mergeCell ref="A6:E6"/>
    <mergeCell ref="F6:H6"/>
    <mergeCell ref="F7:P7"/>
    <mergeCell ref="A33:B33"/>
  </mergeCells>
  <phoneticPr fontId="1" type="noConversion"/>
  <printOptions horizontalCentered="1" verticalCentered="1"/>
  <pageMargins left="0.39370078740157483" right="0.39370078740157483" top="0.39370078740157483" bottom="0.39370078740157483" header="0" footer="0"/>
  <pageSetup paperSize="9" scale="69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S33"/>
  <sheetViews>
    <sheetView showZeros="0" view="pageBreakPreview" zoomScale="55" zoomScaleNormal="75" zoomScaleSheetLayoutView="100" workbookViewId="0">
      <pane xSplit="19" ySplit="8" topLeftCell="T9" activePane="bottomRight" state="frozen"/>
      <selection pane="topRight" activeCell="T1" sqref="T1"/>
      <selection pane="bottomLeft" activeCell="A9" sqref="A9"/>
      <selection pane="bottomRight" activeCell="C13" sqref="A9:C13"/>
    </sheetView>
  </sheetViews>
  <sheetFormatPr defaultRowHeight="24" customHeight="1" x14ac:dyDescent="0.25"/>
  <cols>
    <col min="1" max="1" width="7.75" style="2" customWidth="1"/>
    <col min="2" max="2" width="7.375" style="2" customWidth="1"/>
    <col min="3" max="3" width="9.5" style="2" customWidth="1"/>
    <col min="4" max="4" width="9.625" style="2" customWidth="1"/>
    <col min="5" max="5" width="12.125" style="2" customWidth="1"/>
    <col min="6" max="6" width="12.5" style="2" customWidth="1"/>
    <col min="7" max="7" width="13.5" style="2" customWidth="1"/>
    <col min="8" max="8" width="10.625" style="2" customWidth="1"/>
    <col min="9" max="9" width="11.75" style="2" customWidth="1"/>
    <col min="10" max="10" width="10.625" style="2" customWidth="1"/>
    <col min="11" max="11" width="11.125" style="2" customWidth="1"/>
    <col min="12" max="12" width="10.625" style="2" customWidth="1"/>
    <col min="13" max="13" width="11.5" style="2" customWidth="1"/>
    <col min="14" max="14" width="10.75" style="2" customWidth="1"/>
    <col min="15" max="15" width="13.5" style="2" customWidth="1"/>
    <col min="16" max="16" width="9.75" style="2" customWidth="1"/>
    <col min="17" max="18" width="11.5" style="2" customWidth="1"/>
    <col min="19" max="19" width="12.375" style="2" customWidth="1"/>
    <col min="20" max="16384" width="9" style="2"/>
  </cols>
  <sheetData>
    <row r="1" spans="1:19" ht="50.1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30"/>
    </row>
    <row r="2" spans="1:19" ht="24" customHeight="1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8"/>
    </row>
    <row r="3" spans="1:19" ht="24" customHeight="1" x14ac:dyDescent="0.25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8"/>
    </row>
    <row r="4" spans="1:19" ht="28.5" customHeight="1" x14ac:dyDescent="0.25">
      <c r="A4" s="59" t="s">
        <v>56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29"/>
    </row>
    <row r="5" spans="1:19" ht="24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29"/>
    </row>
    <row r="6" spans="1:19" ht="24" customHeight="1" x14ac:dyDescent="0.25">
      <c r="A6" s="65" t="s">
        <v>3</v>
      </c>
      <c r="B6" s="65"/>
      <c r="C6" s="65"/>
      <c r="D6" s="65"/>
      <c r="E6" s="65"/>
      <c r="F6" s="66"/>
      <c r="G6" s="66"/>
      <c r="H6" s="66"/>
      <c r="I6" s="18"/>
      <c r="J6" s="18"/>
      <c r="K6" s="18"/>
      <c r="L6" s="18"/>
      <c r="M6" s="18"/>
      <c r="N6" s="18"/>
      <c r="O6" s="18"/>
      <c r="P6" s="18"/>
      <c r="Q6" s="18"/>
    </row>
    <row r="7" spans="1:19" ht="24" customHeight="1" x14ac:dyDescent="0.25">
      <c r="A7" s="64" t="s">
        <v>4</v>
      </c>
      <c r="B7" s="64"/>
      <c r="C7" s="64"/>
      <c r="D7" s="64"/>
      <c r="E7" s="64"/>
      <c r="F7" s="67" t="s">
        <v>5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32"/>
    </row>
    <row r="8" spans="1:19" s="1" customFormat="1" ht="24" customHeight="1" x14ac:dyDescent="0.25">
      <c r="A8" s="37" t="s">
        <v>6</v>
      </c>
      <c r="B8" s="37" t="s">
        <v>7</v>
      </c>
      <c r="C8" s="37" t="s">
        <v>8</v>
      </c>
      <c r="D8" s="37" t="s">
        <v>9</v>
      </c>
      <c r="E8" s="42" t="s">
        <v>10</v>
      </c>
      <c r="F8" s="37" t="s">
        <v>11</v>
      </c>
      <c r="G8" s="38" t="s">
        <v>12</v>
      </c>
      <c r="H8" s="37" t="s">
        <v>13</v>
      </c>
      <c r="I8" s="39" t="s">
        <v>14</v>
      </c>
      <c r="J8" s="39" t="s">
        <v>15</v>
      </c>
      <c r="K8" s="39" t="s">
        <v>16</v>
      </c>
      <c r="L8" s="39" t="s">
        <v>17</v>
      </c>
      <c r="M8" s="19" t="s">
        <v>18</v>
      </c>
      <c r="N8" s="19" t="s">
        <v>19</v>
      </c>
      <c r="O8" s="31" t="s">
        <v>20</v>
      </c>
      <c r="P8" s="3" t="s">
        <v>21</v>
      </c>
      <c r="Q8" s="36" t="s">
        <v>22</v>
      </c>
      <c r="R8" s="27" t="s">
        <v>23</v>
      </c>
      <c r="S8" s="26" t="s">
        <v>24</v>
      </c>
    </row>
    <row r="9" spans="1:19" s="1" customFormat="1" ht="24" customHeight="1" x14ac:dyDescent="0.25">
      <c r="A9" s="4"/>
      <c r="B9" s="5"/>
      <c r="C9" s="5"/>
      <c r="D9" s="6">
        <f t="shared" ref="D9:D29" si="0">C9/1.2</f>
        <v>0</v>
      </c>
      <c r="E9" s="43">
        <f t="shared" ref="E9:E26" si="1">(A9+B9)*2*C9/9.29*1.2/21</f>
        <v>0</v>
      </c>
      <c r="F9" s="20">
        <f t="shared" ref="F9:F26" si="2">(A9+B9)*2*C9/9.29*1.2/10.76</f>
        <v>0</v>
      </c>
      <c r="G9" s="21">
        <f t="shared" ref="G9:G26" si="3">(A9+B9)*2*C9/9.29*1.2</f>
        <v>0</v>
      </c>
      <c r="H9" s="7" t="str">
        <f t="shared" ref="H9:H26" si="4">IF(A9=0,"",IF(A9&lt;31,"26#",IF(A9&lt;76,"24#",IF(A9&lt;151,"22#",IF(A9&lt;225,"20#",IF(A9&lt;300,"18#"))))))</f>
        <v/>
      </c>
      <c r="I9" s="9">
        <f t="shared" ref="I9:I26" si="5">((A9+B9)*2*7.85*C9)/100</f>
        <v>0</v>
      </c>
      <c r="J9" s="9">
        <f t="shared" ref="J9:J26" si="6">(C9/1.2)*8</f>
        <v>0</v>
      </c>
      <c r="K9" s="9">
        <f t="shared" ref="K9:K26" si="7">(((A9+B9)*2)/15)*D9</f>
        <v>0</v>
      </c>
      <c r="L9" s="40">
        <f t="shared" ref="L9:L26" si="8">(((A9+B9)*2)*D9)/100</f>
        <v>0</v>
      </c>
      <c r="M9" s="9" t="str">
        <f t="shared" ref="M9:M26" si="9">IF(A9=0,"",IF(A9&lt;75,"0",IF(A9&lt;150,"1",IF(A9&lt;300,"2",IF(A9&lt;450,"3")))))</f>
        <v/>
      </c>
      <c r="N9" s="9" t="str">
        <f t="shared" ref="N9:N26" si="10">IF(B9=0,"",IF(B9&lt;75,"0",IF(B9&lt;150,"1",IF(B9&lt;300,"2"))))</f>
        <v/>
      </c>
      <c r="O9" s="40" t="e">
        <f t="shared" ref="O9:O26" si="11">(((B9/100)*M9)+((A9/100)*N9))*D9</f>
        <v>#VALUE!</v>
      </c>
      <c r="P9" s="41">
        <f t="shared" ref="P9:P26" si="12">(C9/2.2)*(A9/100)</f>
        <v>0</v>
      </c>
      <c r="Q9" s="33">
        <f t="shared" ref="Q9:Q26" si="13">C9/2.2</f>
        <v>0</v>
      </c>
      <c r="R9" s="23" t="e">
        <f t="shared" ref="R9:R26" si="14">(M9*N9)*D9</f>
        <v>#VALUE!</v>
      </c>
      <c r="S9" s="8" t="e">
        <f t="shared" ref="S9:S26" si="15">((M9+N9)*4)*D9</f>
        <v>#VALUE!</v>
      </c>
    </row>
    <row r="10" spans="1:19" ht="24" customHeight="1" x14ac:dyDescent="0.25">
      <c r="A10" s="4"/>
      <c r="B10" s="5"/>
      <c r="C10" s="5"/>
      <c r="D10" s="6">
        <f t="shared" si="0"/>
        <v>0</v>
      </c>
      <c r="E10" s="43">
        <f t="shared" si="1"/>
        <v>0</v>
      </c>
      <c r="F10" s="20">
        <f t="shared" si="2"/>
        <v>0</v>
      </c>
      <c r="G10" s="21">
        <f t="shared" si="3"/>
        <v>0</v>
      </c>
      <c r="H10" s="7" t="str">
        <f t="shared" si="4"/>
        <v/>
      </c>
      <c r="I10" s="9">
        <f t="shared" si="5"/>
        <v>0</v>
      </c>
      <c r="J10" s="9">
        <f t="shared" si="6"/>
        <v>0</v>
      </c>
      <c r="K10" s="9">
        <f t="shared" si="7"/>
        <v>0</v>
      </c>
      <c r="L10" s="40">
        <f t="shared" si="8"/>
        <v>0</v>
      </c>
      <c r="M10" s="9" t="str">
        <f t="shared" si="9"/>
        <v/>
      </c>
      <c r="N10" s="9" t="str">
        <f t="shared" si="10"/>
        <v/>
      </c>
      <c r="O10" s="40" t="e">
        <f t="shared" si="11"/>
        <v>#VALUE!</v>
      </c>
      <c r="P10" s="41">
        <f t="shared" si="12"/>
        <v>0</v>
      </c>
      <c r="Q10" s="33">
        <f t="shared" si="13"/>
        <v>0</v>
      </c>
      <c r="R10" s="23" t="e">
        <f t="shared" si="14"/>
        <v>#VALUE!</v>
      </c>
      <c r="S10" s="8" t="e">
        <f t="shared" si="15"/>
        <v>#VALUE!</v>
      </c>
    </row>
    <row r="11" spans="1:19" ht="24" customHeight="1" x14ac:dyDescent="0.25">
      <c r="A11" s="4"/>
      <c r="B11" s="5"/>
      <c r="C11" s="5"/>
      <c r="D11" s="6">
        <f t="shared" si="0"/>
        <v>0</v>
      </c>
      <c r="E11" s="43">
        <f t="shared" si="1"/>
        <v>0</v>
      </c>
      <c r="F11" s="20">
        <f t="shared" si="2"/>
        <v>0</v>
      </c>
      <c r="G11" s="21">
        <f t="shared" si="3"/>
        <v>0</v>
      </c>
      <c r="H11" s="7" t="str">
        <f t="shared" si="4"/>
        <v/>
      </c>
      <c r="I11" s="9">
        <f t="shared" si="5"/>
        <v>0</v>
      </c>
      <c r="J11" s="9">
        <f t="shared" si="6"/>
        <v>0</v>
      </c>
      <c r="K11" s="9">
        <f t="shared" si="7"/>
        <v>0</v>
      </c>
      <c r="L11" s="40">
        <f t="shared" si="8"/>
        <v>0</v>
      </c>
      <c r="M11" s="9" t="str">
        <f t="shared" si="9"/>
        <v/>
      </c>
      <c r="N11" s="9" t="str">
        <f t="shared" si="10"/>
        <v/>
      </c>
      <c r="O11" s="40" t="e">
        <f t="shared" si="11"/>
        <v>#VALUE!</v>
      </c>
      <c r="P11" s="41">
        <f t="shared" si="12"/>
        <v>0</v>
      </c>
      <c r="Q11" s="33">
        <f t="shared" si="13"/>
        <v>0</v>
      </c>
      <c r="R11" s="23" t="e">
        <f t="shared" si="14"/>
        <v>#VALUE!</v>
      </c>
      <c r="S11" s="8" t="e">
        <f t="shared" si="15"/>
        <v>#VALUE!</v>
      </c>
    </row>
    <row r="12" spans="1:19" ht="24" customHeight="1" x14ac:dyDescent="0.25">
      <c r="A12" s="4"/>
      <c r="B12" s="5"/>
      <c r="C12" s="5"/>
      <c r="D12" s="6">
        <f t="shared" si="0"/>
        <v>0</v>
      </c>
      <c r="E12" s="43">
        <f t="shared" si="1"/>
        <v>0</v>
      </c>
      <c r="F12" s="20">
        <f t="shared" si="2"/>
        <v>0</v>
      </c>
      <c r="G12" s="21">
        <f t="shared" si="3"/>
        <v>0</v>
      </c>
      <c r="H12" s="7" t="str">
        <f t="shared" si="4"/>
        <v/>
      </c>
      <c r="I12" s="9">
        <f t="shared" si="5"/>
        <v>0</v>
      </c>
      <c r="J12" s="9">
        <f t="shared" si="6"/>
        <v>0</v>
      </c>
      <c r="K12" s="9">
        <f t="shared" si="7"/>
        <v>0</v>
      </c>
      <c r="L12" s="40">
        <f t="shared" si="8"/>
        <v>0</v>
      </c>
      <c r="M12" s="9" t="str">
        <f t="shared" si="9"/>
        <v/>
      </c>
      <c r="N12" s="9" t="str">
        <f t="shared" si="10"/>
        <v/>
      </c>
      <c r="O12" s="40" t="e">
        <f t="shared" si="11"/>
        <v>#VALUE!</v>
      </c>
      <c r="P12" s="41">
        <f t="shared" si="12"/>
        <v>0</v>
      </c>
      <c r="Q12" s="33">
        <f t="shared" si="13"/>
        <v>0</v>
      </c>
      <c r="R12" s="23" t="e">
        <f t="shared" si="14"/>
        <v>#VALUE!</v>
      </c>
      <c r="S12" s="8" t="e">
        <f t="shared" si="15"/>
        <v>#VALUE!</v>
      </c>
    </row>
    <row r="13" spans="1:19" ht="24" customHeight="1" x14ac:dyDescent="0.25">
      <c r="A13" s="4"/>
      <c r="B13" s="5"/>
      <c r="C13" s="5"/>
      <c r="D13" s="6">
        <f t="shared" si="0"/>
        <v>0</v>
      </c>
      <c r="E13" s="43">
        <f t="shared" si="1"/>
        <v>0</v>
      </c>
      <c r="F13" s="20">
        <f t="shared" si="2"/>
        <v>0</v>
      </c>
      <c r="G13" s="21">
        <f t="shared" si="3"/>
        <v>0</v>
      </c>
      <c r="H13" s="7" t="str">
        <f t="shared" si="4"/>
        <v/>
      </c>
      <c r="I13" s="9">
        <f t="shared" si="5"/>
        <v>0</v>
      </c>
      <c r="J13" s="9">
        <f t="shared" si="6"/>
        <v>0</v>
      </c>
      <c r="K13" s="9">
        <f t="shared" si="7"/>
        <v>0</v>
      </c>
      <c r="L13" s="40">
        <f t="shared" si="8"/>
        <v>0</v>
      </c>
      <c r="M13" s="9" t="str">
        <f t="shared" si="9"/>
        <v/>
      </c>
      <c r="N13" s="9" t="str">
        <f t="shared" si="10"/>
        <v/>
      </c>
      <c r="O13" s="40" t="e">
        <f t="shared" si="11"/>
        <v>#VALUE!</v>
      </c>
      <c r="P13" s="41">
        <f t="shared" si="12"/>
        <v>0</v>
      </c>
      <c r="Q13" s="33">
        <f t="shared" si="13"/>
        <v>0</v>
      </c>
      <c r="R13" s="23" t="e">
        <f t="shared" si="14"/>
        <v>#VALUE!</v>
      </c>
      <c r="S13" s="8" t="e">
        <f t="shared" si="15"/>
        <v>#VALUE!</v>
      </c>
    </row>
    <row r="14" spans="1:19" ht="24" customHeight="1" x14ac:dyDescent="0.25">
      <c r="A14" s="4"/>
      <c r="B14" s="5"/>
      <c r="C14" s="5"/>
      <c r="D14" s="6">
        <f t="shared" si="0"/>
        <v>0</v>
      </c>
      <c r="E14" s="43">
        <f t="shared" si="1"/>
        <v>0</v>
      </c>
      <c r="F14" s="20">
        <f t="shared" si="2"/>
        <v>0</v>
      </c>
      <c r="G14" s="21">
        <f t="shared" si="3"/>
        <v>0</v>
      </c>
      <c r="H14" s="7" t="str">
        <f t="shared" si="4"/>
        <v/>
      </c>
      <c r="I14" s="9">
        <f t="shared" si="5"/>
        <v>0</v>
      </c>
      <c r="J14" s="9">
        <f t="shared" si="6"/>
        <v>0</v>
      </c>
      <c r="K14" s="9">
        <f t="shared" si="7"/>
        <v>0</v>
      </c>
      <c r="L14" s="40">
        <f t="shared" si="8"/>
        <v>0</v>
      </c>
      <c r="M14" s="9" t="str">
        <f t="shared" si="9"/>
        <v/>
      </c>
      <c r="N14" s="9" t="str">
        <f t="shared" si="10"/>
        <v/>
      </c>
      <c r="O14" s="40" t="e">
        <f t="shared" si="11"/>
        <v>#VALUE!</v>
      </c>
      <c r="P14" s="41">
        <f t="shared" si="12"/>
        <v>0</v>
      </c>
      <c r="Q14" s="33">
        <f t="shared" si="13"/>
        <v>0</v>
      </c>
      <c r="R14" s="23" t="e">
        <f t="shared" si="14"/>
        <v>#VALUE!</v>
      </c>
      <c r="S14" s="8" t="e">
        <f t="shared" si="15"/>
        <v>#VALUE!</v>
      </c>
    </row>
    <row r="15" spans="1:19" ht="24" customHeight="1" x14ac:dyDescent="0.25">
      <c r="A15" s="4"/>
      <c r="B15" s="5"/>
      <c r="C15" s="5"/>
      <c r="D15" s="6">
        <f t="shared" si="0"/>
        <v>0</v>
      </c>
      <c r="E15" s="43">
        <f t="shared" si="1"/>
        <v>0</v>
      </c>
      <c r="F15" s="20">
        <f t="shared" si="2"/>
        <v>0</v>
      </c>
      <c r="G15" s="21">
        <f t="shared" si="3"/>
        <v>0</v>
      </c>
      <c r="H15" s="7" t="str">
        <f t="shared" si="4"/>
        <v/>
      </c>
      <c r="I15" s="9">
        <f t="shared" si="5"/>
        <v>0</v>
      </c>
      <c r="J15" s="9">
        <f t="shared" si="6"/>
        <v>0</v>
      </c>
      <c r="K15" s="9">
        <f t="shared" si="7"/>
        <v>0</v>
      </c>
      <c r="L15" s="40">
        <f t="shared" si="8"/>
        <v>0</v>
      </c>
      <c r="M15" s="9" t="str">
        <f t="shared" si="9"/>
        <v/>
      </c>
      <c r="N15" s="9" t="str">
        <f t="shared" si="10"/>
        <v/>
      </c>
      <c r="O15" s="40" t="e">
        <f t="shared" si="11"/>
        <v>#VALUE!</v>
      </c>
      <c r="P15" s="41">
        <f t="shared" si="12"/>
        <v>0</v>
      </c>
      <c r="Q15" s="33">
        <f t="shared" si="13"/>
        <v>0</v>
      </c>
      <c r="R15" s="23" t="e">
        <f t="shared" si="14"/>
        <v>#VALUE!</v>
      </c>
      <c r="S15" s="8" t="e">
        <f t="shared" si="15"/>
        <v>#VALUE!</v>
      </c>
    </row>
    <row r="16" spans="1:19" ht="24" customHeight="1" x14ac:dyDescent="0.25">
      <c r="A16" s="4"/>
      <c r="B16" s="5"/>
      <c r="C16" s="5"/>
      <c r="D16" s="6">
        <f t="shared" si="0"/>
        <v>0</v>
      </c>
      <c r="E16" s="43">
        <f t="shared" si="1"/>
        <v>0</v>
      </c>
      <c r="F16" s="20">
        <f t="shared" si="2"/>
        <v>0</v>
      </c>
      <c r="G16" s="21">
        <f t="shared" si="3"/>
        <v>0</v>
      </c>
      <c r="H16" s="7" t="str">
        <f t="shared" si="4"/>
        <v/>
      </c>
      <c r="I16" s="9">
        <f t="shared" si="5"/>
        <v>0</v>
      </c>
      <c r="J16" s="9">
        <f t="shared" si="6"/>
        <v>0</v>
      </c>
      <c r="K16" s="9">
        <f t="shared" si="7"/>
        <v>0</v>
      </c>
      <c r="L16" s="40">
        <f t="shared" si="8"/>
        <v>0</v>
      </c>
      <c r="M16" s="9" t="str">
        <f t="shared" si="9"/>
        <v/>
      </c>
      <c r="N16" s="9" t="str">
        <f t="shared" si="10"/>
        <v/>
      </c>
      <c r="O16" s="40" t="e">
        <f t="shared" si="11"/>
        <v>#VALUE!</v>
      </c>
      <c r="P16" s="41">
        <f t="shared" si="12"/>
        <v>0</v>
      </c>
      <c r="Q16" s="33">
        <f t="shared" si="13"/>
        <v>0</v>
      </c>
      <c r="R16" s="23" t="e">
        <f t="shared" si="14"/>
        <v>#VALUE!</v>
      </c>
      <c r="S16" s="8" t="e">
        <f t="shared" si="15"/>
        <v>#VALUE!</v>
      </c>
    </row>
    <row r="17" spans="1:19" ht="24" customHeight="1" x14ac:dyDescent="0.25">
      <c r="A17" s="4"/>
      <c r="B17" s="5"/>
      <c r="C17" s="5"/>
      <c r="D17" s="6">
        <f t="shared" si="0"/>
        <v>0</v>
      </c>
      <c r="E17" s="43">
        <f t="shared" si="1"/>
        <v>0</v>
      </c>
      <c r="F17" s="20">
        <f t="shared" si="2"/>
        <v>0</v>
      </c>
      <c r="G17" s="21">
        <f t="shared" si="3"/>
        <v>0</v>
      </c>
      <c r="H17" s="7" t="str">
        <f t="shared" si="4"/>
        <v/>
      </c>
      <c r="I17" s="9">
        <f t="shared" si="5"/>
        <v>0</v>
      </c>
      <c r="J17" s="9">
        <f t="shared" si="6"/>
        <v>0</v>
      </c>
      <c r="K17" s="9">
        <f t="shared" si="7"/>
        <v>0</v>
      </c>
      <c r="L17" s="40">
        <f t="shared" si="8"/>
        <v>0</v>
      </c>
      <c r="M17" s="9" t="str">
        <f t="shared" si="9"/>
        <v/>
      </c>
      <c r="N17" s="9" t="str">
        <f t="shared" si="10"/>
        <v/>
      </c>
      <c r="O17" s="40" t="e">
        <f t="shared" si="11"/>
        <v>#VALUE!</v>
      </c>
      <c r="P17" s="41">
        <f t="shared" si="12"/>
        <v>0</v>
      </c>
      <c r="Q17" s="33">
        <f t="shared" si="13"/>
        <v>0</v>
      </c>
      <c r="R17" s="23" t="e">
        <f t="shared" si="14"/>
        <v>#VALUE!</v>
      </c>
      <c r="S17" s="8" t="e">
        <f t="shared" si="15"/>
        <v>#VALUE!</v>
      </c>
    </row>
    <row r="18" spans="1:19" ht="24" customHeight="1" x14ac:dyDescent="0.25">
      <c r="A18" s="4"/>
      <c r="B18" s="5"/>
      <c r="C18" s="5"/>
      <c r="D18" s="6">
        <f t="shared" si="0"/>
        <v>0</v>
      </c>
      <c r="E18" s="43">
        <f t="shared" si="1"/>
        <v>0</v>
      </c>
      <c r="F18" s="20">
        <f t="shared" si="2"/>
        <v>0</v>
      </c>
      <c r="G18" s="21">
        <f t="shared" si="3"/>
        <v>0</v>
      </c>
      <c r="H18" s="7" t="str">
        <f t="shared" si="4"/>
        <v/>
      </c>
      <c r="I18" s="9">
        <f t="shared" si="5"/>
        <v>0</v>
      </c>
      <c r="J18" s="9">
        <f t="shared" si="6"/>
        <v>0</v>
      </c>
      <c r="K18" s="9">
        <f t="shared" si="7"/>
        <v>0</v>
      </c>
      <c r="L18" s="40">
        <f t="shared" si="8"/>
        <v>0</v>
      </c>
      <c r="M18" s="9" t="str">
        <f t="shared" si="9"/>
        <v/>
      </c>
      <c r="N18" s="9" t="str">
        <f t="shared" si="10"/>
        <v/>
      </c>
      <c r="O18" s="40" t="e">
        <f t="shared" si="11"/>
        <v>#VALUE!</v>
      </c>
      <c r="P18" s="41">
        <f t="shared" si="12"/>
        <v>0</v>
      </c>
      <c r="Q18" s="33">
        <f t="shared" si="13"/>
        <v>0</v>
      </c>
      <c r="R18" s="23" t="e">
        <f t="shared" si="14"/>
        <v>#VALUE!</v>
      </c>
      <c r="S18" s="8" t="e">
        <f t="shared" si="15"/>
        <v>#VALUE!</v>
      </c>
    </row>
    <row r="19" spans="1:19" ht="24" customHeight="1" x14ac:dyDescent="0.25">
      <c r="A19" s="4"/>
      <c r="B19" s="5"/>
      <c r="C19" s="5"/>
      <c r="D19" s="6">
        <f t="shared" si="0"/>
        <v>0</v>
      </c>
      <c r="E19" s="43">
        <f t="shared" si="1"/>
        <v>0</v>
      </c>
      <c r="F19" s="20">
        <f t="shared" si="2"/>
        <v>0</v>
      </c>
      <c r="G19" s="21">
        <f t="shared" si="3"/>
        <v>0</v>
      </c>
      <c r="H19" s="7" t="str">
        <f t="shared" si="4"/>
        <v/>
      </c>
      <c r="I19" s="9">
        <f t="shared" si="5"/>
        <v>0</v>
      </c>
      <c r="J19" s="9">
        <f t="shared" si="6"/>
        <v>0</v>
      </c>
      <c r="K19" s="9">
        <f t="shared" si="7"/>
        <v>0</v>
      </c>
      <c r="L19" s="40">
        <f t="shared" si="8"/>
        <v>0</v>
      </c>
      <c r="M19" s="9" t="str">
        <f t="shared" si="9"/>
        <v/>
      </c>
      <c r="N19" s="9" t="str">
        <f t="shared" si="10"/>
        <v/>
      </c>
      <c r="O19" s="40" t="e">
        <f t="shared" si="11"/>
        <v>#VALUE!</v>
      </c>
      <c r="P19" s="41">
        <f t="shared" si="12"/>
        <v>0</v>
      </c>
      <c r="Q19" s="33">
        <f t="shared" si="13"/>
        <v>0</v>
      </c>
      <c r="R19" s="23" t="e">
        <f t="shared" si="14"/>
        <v>#VALUE!</v>
      </c>
      <c r="S19" s="8" t="e">
        <f t="shared" si="15"/>
        <v>#VALUE!</v>
      </c>
    </row>
    <row r="20" spans="1:19" ht="24" customHeight="1" x14ac:dyDescent="0.25">
      <c r="A20" s="4"/>
      <c r="B20" s="5"/>
      <c r="C20" s="5"/>
      <c r="D20" s="6">
        <f t="shared" si="0"/>
        <v>0</v>
      </c>
      <c r="E20" s="43">
        <f t="shared" si="1"/>
        <v>0</v>
      </c>
      <c r="F20" s="20">
        <f t="shared" si="2"/>
        <v>0</v>
      </c>
      <c r="G20" s="21">
        <f t="shared" si="3"/>
        <v>0</v>
      </c>
      <c r="H20" s="7" t="str">
        <f t="shared" si="4"/>
        <v/>
      </c>
      <c r="I20" s="9">
        <f t="shared" si="5"/>
        <v>0</v>
      </c>
      <c r="J20" s="9">
        <f t="shared" si="6"/>
        <v>0</v>
      </c>
      <c r="K20" s="9">
        <f t="shared" si="7"/>
        <v>0</v>
      </c>
      <c r="L20" s="40">
        <f t="shared" si="8"/>
        <v>0</v>
      </c>
      <c r="M20" s="9" t="str">
        <f t="shared" si="9"/>
        <v/>
      </c>
      <c r="N20" s="9" t="str">
        <f t="shared" si="10"/>
        <v/>
      </c>
      <c r="O20" s="40" t="e">
        <f t="shared" si="11"/>
        <v>#VALUE!</v>
      </c>
      <c r="P20" s="41">
        <f t="shared" si="12"/>
        <v>0</v>
      </c>
      <c r="Q20" s="33">
        <f t="shared" si="13"/>
        <v>0</v>
      </c>
      <c r="R20" s="23" t="e">
        <f t="shared" si="14"/>
        <v>#VALUE!</v>
      </c>
      <c r="S20" s="8" t="e">
        <f t="shared" si="15"/>
        <v>#VALUE!</v>
      </c>
    </row>
    <row r="21" spans="1:19" ht="24" customHeight="1" x14ac:dyDescent="0.25">
      <c r="A21" s="4"/>
      <c r="B21" s="5"/>
      <c r="C21" s="5"/>
      <c r="D21" s="6">
        <f t="shared" si="0"/>
        <v>0</v>
      </c>
      <c r="E21" s="43">
        <f t="shared" si="1"/>
        <v>0</v>
      </c>
      <c r="F21" s="20">
        <f t="shared" si="2"/>
        <v>0</v>
      </c>
      <c r="G21" s="21">
        <f t="shared" si="3"/>
        <v>0</v>
      </c>
      <c r="H21" s="7" t="str">
        <f t="shared" si="4"/>
        <v/>
      </c>
      <c r="I21" s="9">
        <f t="shared" si="5"/>
        <v>0</v>
      </c>
      <c r="J21" s="9">
        <f t="shared" si="6"/>
        <v>0</v>
      </c>
      <c r="K21" s="9">
        <f t="shared" si="7"/>
        <v>0</v>
      </c>
      <c r="L21" s="40">
        <f t="shared" si="8"/>
        <v>0</v>
      </c>
      <c r="M21" s="9" t="str">
        <f t="shared" si="9"/>
        <v/>
      </c>
      <c r="N21" s="9" t="str">
        <f t="shared" si="10"/>
        <v/>
      </c>
      <c r="O21" s="40" t="e">
        <f t="shared" si="11"/>
        <v>#VALUE!</v>
      </c>
      <c r="P21" s="41">
        <f t="shared" si="12"/>
        <v>0</v>
      </c>
      <c r="Q21" s="33">
        <f t="shared" si="13"/>
        <v>0</v>
      </c>
      <c r="R21" s="23" t="e">
        <f t="shared" si="14"/>
        <v>#VALUE!</v>
      </c>
      <c r="S21" s="8" t="e">
        <f t="shared" si="15"/>
        <v>#VALUE!</v>
      </c>
    </row>
    <row r="22" spans="1:19" ht="24" customHeight="1" x14ac:dyDescent="0.25">
      <c r="A22" s="4"/>
      <c r="B22" s="5"/>
      <c r="C22" s="5"/>
      <c r="D22" s="6">
        <f t="shared" si="0"/>
        <v>0</v>
      </c>
      <c r="E22" s="43">
        <f t="shared" si="1"/>
        <v>0</v>
      </c>
      <c r="F22" s="20">
        <f t="shared" si="2"/>
        <v>0</v>
      </c>
      <c r="G22" s="21">
        <f t="shared" si="3"/>
        <v>0</v>
      </c>
      <c r="H22" s="7" t="str">
        <f t="shared" si="4"/>
        <v/>
      </c>
      <c r="I22" s="9">
        <f t="shared" si="5"/>
        <v>0</v>
      </c>
      <c r="J22" s="9">
        <f t="shared" si="6"/>
        <v>0</v>
      </c>
      <c r="K22" s="9">
        <f t="shared" si="7"/>
        <v>0</v>
      </c>
      <c r="L22" s="40">
        <f t="shared" si="8"/>
        <v>0</v>
      </c>
      <c r="M22" s="9" t="str">
        <f t="shared" si="9"/>
        <v/>
      </c>
      <c r="N22" s="9" t="str">
        <f t="shared" si="10"/>
        <v/>
      </c>
      <c r="O22" s="40" t="e">
        <f t="shared" si="11"/>
        <v>#VALUE!</v>
      </c>
      <c r="P22" s="41">
        <f t="shared" si="12"/>
        <v>0</v>
      </c>
      <c r="Q22" s="33">
        <f t="shared" si="13"/>
        <v>0</v>
      </c>
      <c r="R22" s="23" t="e">
        <f t="shared" si="14"/>
        <v>#VALUE!</v>
      </c>
      <c r="S22" s="8" t="e">
        <f t="shared" si="15"/>
        <v>#VALUE!</v>
      </c>
    </row>
    <row r="23" spans="1:19" ht="24" customHeight="1" x14ac:dyDescent="0.25">
      <c r="A23" s="4"/>
      <c r="B23" s="5"/>
      <c r="C23" s="5"/>
      <c r="D23" s="6">
        <f t="shared" si="0"/>
        <v>0</v>
      </c>
      <c r="E23" s="43">
        <f t="shared" si="1"/>
        <v>0</v>
      </c>
      <c r="F23" s="20">
        <f t="shared" si="2"/>
        <v>0</v>
      </c>
      <c r="G23" s="21">
        <f t="shared" si="3"/>
        <v>0</v>
      </c>
      <c r="H23" s="7" t="str">
        <f t="shared" si="4"/>
        <v/>
      </c>
      <c r="I23" s="9">
        <f t="shared" si="5"/>
        <v>0</v>
      </c>
      <c r="J23" s="9">
        <f t="shared" si="6"/>
        <v>0</v>
      </c>
      <c r="K23" s="9">
        <f t="shared" si="7"/>
        <v>0</v>
      </c>
      <c r="L23" s="40">
        <f t="shared" si="8"/>
        <v>0</v>
      </c>
      <c r="M23" s="9" t="str">
        <f t="shared" si="9"/>
        <v/>
      </c>
      <c r="N23" s="9" t="str">
        <f t="shared" si="10"/>
        <v/>
      </c>
      <c r="O23" s="40" t="e">
        <f t="shared" si="11"/>
        <v>#VALUE!</v>
      </c>
      <c r="P23" s="41">
        <f t="shared" si="12"/>
        <v>0</v>
      </c>
      <c r="Q23" s="33">
        <f t="shared" si="13"/>
        <v>0</v>
      </c>
      <c r="R23" s="23" t="e">
        <f t="shared" si="14"/>
        <v>#VALUE!</v>
      </c>
      <c r="S23" s="8" t="e">
        <f t="shared" si="15"/>
        <v>#VALUE!</v>
      </c>
    </row>
    <row r="24" spans="1:19" ht="24" customHeight="1" x14ac:dyDescent="0.25">
      <c r="A24" s="4"/>
      <c r="B24" s="5"/>
      <c r="C24" s="5"/>
      <c r="D24" s="6">
        <f t="shared" si="0"/>
        <v>0</v>
      </c>
      <c r="E24" s="43">
        <f t="shared" si="1"/>
        <v>0</v>
      </c>
      <c r="F24" s="20">
        <f t="shared" si="2"/>
        <v>0</v>
      </c>
      <c r="G24" s="21">
        <f t="shared" si="3"/>
        <v>0</v>
      </c>
      <c r="H24" s="7" t="str">
        <f t="shared" si="4"/>
        <v/>
      </c>
      <c r="I24" s="9">
        <f t="shared" si="5"/>
        <v>0</v>
      </c>
      <c r="J24" s="9">
        <f t="shared" si="6"/>
        <v>0</v>
      </c>
      <c r="K24" s="9">
        <f t="shared" si="7"/>
        <v>0</v>
      </c>
      <c r="L24" s="40">
        <f t="shared" si="8"/>
        <v>0</v>
      </c>
      <c r="M24" s="9" t="str">
        <f t="shared" si="9"/>
        <v/>
      </c>
      <c r="N24" s="9" t="str">
        <f t="shared" si="10"/>
        <v/>
      </c>
      <c r="O24" s="40" t="e">
        <f t="shared" si="11"/>
        <v>#VALUE!</v>
      </c>
      <c r="P24" s="41">
        <f t="shared" si="12"/>
        <v>0</v>
      </c>
      <c r="Q24" s="33">
        <f t="shared" si="13"/>
        <v>0</v>
      </c>
      <c r="R24" s="23" t="e">
        <f t="shared" si="14"/>
        <v>#VALUE!</v>
      </c>
      <c r="S24" s="8" t="e">
        <f t="shared" si="15"/>
        <v>#VALUE!</v>
      </c>
    </row>
    <row r="25" spans="1:19" ht="24" customHeight="1" x14ac:dyDescent="0.25">
      <c r="A25" s="4"/>
      <c r="B25" s="5"/>
      <c r="C25" s="5"/>
      <c r="D25" s="6">
        <f t="shared" si="0"/>
        <v>0</v>
      </c>
      <c r="E25" s="43">
        <f t="shared" si="1"/>
        <v>0</v>
      </c>
      <c r="F25" s="20">
        <f t="shared" si="2"/>
        <v>0</v>
      </c>
      <c r="G25" s="21">
        <f t="shared" si="3"/>
        <v>0</v>
      </c>
      <c r="H25" s="7" t="str">
        <f t="shared" si="4"/>
        <v/>
      </c>
      <c r="I25" s="9">
        <f t="shared" si="5"/>
        <v>0</v>
      </c>
      <c r="J25" s="9">
        <f t="shared" si="6"/>
        <v>0</v>
      </c>
      <c r="K25" s="9">
        <f t="shared" si="7"/>
        <v>0</v>
      </c>
      <c r="L25" s="40">
        <f t="shared" si="8"/>
        <v>0</v>
      </c>
      <c r="M25" s="9" t="str">
        <f t="shared" si="9"/>
        <v/>
      </c>
      <c r="N25" s="9" t="str">
        <f t="shared" si="10"/>
        <v/>
      </c>
      <c r="O25" s="40" t="e">
        <f t="shared" si="11"/>
        <v>#VALUE!</v>
      </c>
      <c r="P25" s="41">
        <f t="shared" si="12"/>
        <v>0</v>
      </c>
      <c r="Q25" s="33">
        <f t="shared" si="13"/>
        <v>0</v>
      </c>
      <c r="R25" s="23" t="e">
        <f t="shared" si="14"/>
        <v>#VALUE!</v>
      </c>
      <c r="S25" s="8" t="e">
        <f t="shared" si="15"/>
        <v>#VALUE!</v>
      </c>
    </row>
    <row r="26" spans="1:19" s="1" customFormat="1" ht="24" customHeight="1" x14ac:dyDescent="0.25">
      <c r="A26" s="4"/>
      <c r="B26" s="5"/>
      <c r="C26" s="5"/>
      <c r="D26" s="6">
        <f t="shared" si="0"/>
        <v>0</v>
      </c>
      <c r="E26" s="43">
        <f t="shared" si="1"/>
        <v>0</v>
      </c>
      <c r="F26" s="20">
        <f t="shared" si="2"/>
        <v>0</v>
      </c>
      <c r="G26" s="21">
        <f t="shared" si="3"/>
        <v>0</v>
      </c>
      <c r="H26" s="7" t="str">
        <f t="shared" si="4"/>
        <v/>
      </c>
      <c r="I26" s="9">
        <f t="shared" si="5"/>
        <v>0</v>
      </c>
      <c r="J26" s="9">
        <f t="shared" si="6"/>
        <v>0</v>
      </c>
      <c r="K26" s="9">
        <f t="shared" si="7"/>
        <v>0</v>
      </c>
      <c r="L26" s="40">
        <f t="shared" si="8"/>
        <v>0</v>
      </c>
      <c r="M26" s="9" t="str">
        <f t="shared" si="9"/>
        <v/>
      </c>
      <c r="N26" s="9" t="str">
        <f t="shared" si="10"/>
        <v/>
      </c>
      <c r="O26" s="40" t="e">
        <f t="shared" si="11"/>
        <v>#VALUE!</v>
      </c>
      <c r="P26" s="41">
        <f t="shared" si="12"/>
        <v>0</v>
      </c>
      <c r="Q26" s="33">
        <f t="shared" si="13"/>
        <v>0</v>
      </c>
      <c r="R26" s="23" t="e">
        <f t="shared" si="14"/>
        <v>#VALUE!</v>
      </c>
      <c r="S26" s="8" t="e">
        <f t="shared" si="15"/>
        <v>#VALUE!</v>
      </c>
    </row>
    <row r="27" spans="1:19" s="57" customFormat="1" ht="24" customHeight="1" x14ac:dyDescent="0.25">
      <c r="A27" s="45"/>
      <c r="B27" s="46"/>
      <c r="C27" s="46"/>
      <c r="D27" s="47">
        <f t="shared" si="0"/>
        <v>0</v>
      </c>
      <c r="E27" s="48">
        <f>(A27+B27)*2*C27/9.29*1.2/21</f>
        <v>0</v>
      </c>
      <c r="F27" s="48">
        <f>(A27+B27)*2*C27/9.29*1.2/10.76</f>
        <v>0</v>
      </c>
      <c r="G27" s="49">
        <f>(A27+B27)*2*C27/9.29*1.2</f>
        <v>0</v>
      </c>
      <c r="H27" s="50" t="str">
        <f>IF(A27=0,"",IF(A27&lt;31,"26#",IF(A27&lt;76,"24#",IF(A27&lt;151,"22#",IF(A27&lt;225,"20#",IF(A27&lt;300,"18#"))))))</f>
        <v/>
      </c>
      <c r="I27" s="51">
        <f>((A27+B27)*2*7.85*C27)/100</f>
        <v>0</v>
      </c>
      <c r="J27" s="51">
        <f>(C27/1.2)*8</f>
        <v>0</v>
      </c>
      <c r="K27" s="51">
        <f>(((A27+B27)*2)/15)*D27</f>
        <v>0</v>
      </c>
      <c r="L27" s="52">
        <f>(((A27+B27)*2)*D27)/100</f>
        <v>0</v>
      </c>
      <c r="M27" s="51" t="str">
        <f>IF(A27=0,"",IF(A27&lt;75,"0",IF(A27&lt;150,"1",IF(A27&lt;300,"2",IF(A27&lt;450,"3")))))</f>
        <v/>
      </c>
      <c r="N27" s="51" t="str">
        <f>IF(B27=0,"",IF(B27&lt;75,"0",IF(B27&lt;150,"1",IF(B27&lt;300,"2"))))</f>
        <v/>
      </c>
      <c r="O27" s="52" t="e">
        <f>(((B27/100)*M27)+((A27/100)*N27))*D27</f>
        <v>#VALUE!</v>
      </c>
      <c r="P27" s="53">
        <f>(C27/2.2)*((A27+10)/100)</f>
        <v>0</v>
      </c>
      <c r="Q27" s="54">
        <f>C27/2.2</f>
        <v>0</v>
      </c>
      <c r="R27" s="55" t="e">
        <f>(M27*N27)*D27</f>
        <v>#VALUE!</v>
      </c>
      <c r="S27" s="56" t="e">
        <f>((M27+N27)*4)*D27</f>
        <v>#VALUE!</v>
      </c>
    </row>
    <row r="28" spans="1:19" s="57" customFormat="1" ht="24" customHeight="1" x14ac:dyDescent="0.25">
      <c r="A28" s="45"/>
      <c r="B28" s="46"/>
      <c r="C28" s="46"/>
      <c r="D28" s="47">
        <f t="shared" si="0"/>
        <v>0</v>
      </c>
      <c r="E28" s="48">
        <f>(A28+B28)*2*C28/9.29*1.2/21</f>
        <v>0</v>
      </c>
      <c r="F28" s="48">
        <f>(A28+B28)*2*C28/9.29*1.2/10.76</f>
        <v>0</v>
      </c>
      <c r="G28" s="49">
        <f>(A28+B28)*2*C28/9.29*1.2</f>
        <v>0</v>
      </c>
      <c r="H28" s="50" t="str">
        <f>IF(A28=0,"",IF(A28&lt;31,"26#",IF(A28&lt;76,"24#",IF(A28&lt;151,"22#",IF(A28&lt;225,"20#",IF(A28&lt;300,"18#"))))))</f>
        <v/>
      </c>
      <c r="I28" s="51">
        <f>((A28+B28)*2*7.85*C28)/100</f>
        <v>0</v>
      </c>
      <c r="J28" s="51">
        <f>(C28/1.2)*8</f>
        <v>0</v>
      </c>
      <c r="K28" s="51">
        <f>(((A28+B28)*2)/15)*D28</f>
        <v>0</v>
      </c>
      <c r="L28" s="52">
        <f>(((A28+B28)*2)*D28)/100</f>
        <v>0</v>
      </c>
      <c r="M28" s="51" t="str">
        <f>IF(A28=0,"",IF(A28&lt;75,"0",IF(A28&lt;150,"1",IF(A28&lt;300,"2",IF(A28&lt;450,"3")))))</f>
        <v/>
      </c>
      <c r="N28" s="51" t="str">
        <f>IF(B28=0,"",IF(B28&lt;75,"0",IF(B28&lt;150,"1",IF(B28&lt;300,"2"))))</f>
        <v/>
      </c>
      <c r="O28" s="52" t="e">
        <f>(((B28/100)*M28)+((A28/100)*N28))*D28</f>
        <v>#VALUE!</v>
      </c>
      <c r="P28" s="53">
        <f>(C28/2.2)*((A28+10)/100)</f>
        <v>0</v>
      </c>
      <c r="Q28" s="54">
        <f>C28/2.2</f>
        <v>0</v>
      </c>
      <c r="R28" s="55" t="e">
        <f>(M28*N28)*D28</f>
        <v>#VALUE!</v>
      </c>
      <c r="S28" s="56" t="e">
        <f>((M28+N28)*4)*D28</f>
        <v>#VALUE!</v>
      </c>
    </row>
    <row r="29" spans="1:19" s="57" customFormat="1" ht="24" customHeight="1" x14ac:dyDescent="0.25">
      <c r="A29" s="45"/>
      <c r="B29" s="46"/>
      <c r="C29" s="46"/>
      <c r="D29" s="47">
        <f t="shared" si="0"/>
        <v>0</v>
      </c>
      <c r="E29" s="48">
        <f>(A29+B29)*2*C29/9.29*1.2/21</f>
        <v>0</v>
      </c>
      <c r="F29" s="48">
        <f>(A29+B29)*2*C29/9.29*1.2/10.76</f>
        <v>0</v>
      </c>
      <c r="G29" s="49">
        <f>(A29+B29)*2*C29/9.29*1.2</f>
        <v>0</v>
      </c>
      <c r="H29" s="50" t="str">
        <f>IF(A29=0,"",IF(A29&lt;31,"26#",IF(A29&lt;76,"24#",IF(A29&lt;151,"22#",IF(A29&lt;225,"20#",IF(A29&lt;300,"18#"))))))</f>
        <v/>
      </c>
      <c r="I29" s="51">
        <f>((A29+B29)*2*7.85*C29)/100</f>
        <v>0</v>
      </c>
      <c r="J29" s="51">
        <f>(C29/1.2)*8</f>
        <v>0</v>
      </c>
      <c r="K29" s="51">
        <f>(((A29+B29)*2)/15)*D29</f>
        <v>0</v>
      </c>
      <c r="L29" s="52">
        <f>(((A29+B29)*2)*D29)/100</f>
        <v>0</v>
      </c>
      <c r="M29" s="51" t="str">
        <f>IF(A29=0,"",IF(A29&lt;75,"0",IF(A29&lt;150,"1",IF(A29&lt;300,"2",IF(A29&lt;450,"3")))))</f>
        <v/>
      </c>
      <c r="N29" s="51" t="str">
        <f>IF(B29=0,"",IF(B29&lt;75,"0",IF(B29&lt;150,"1",IF(B29&lt;300,"2"))))</f>
        <v/>
      </c>
      <c r="O29" s="52" t="e">
        <f>(((B29/100)*M29)+((A29/100)*N29))*D29</f>
        <v>#VALUE!</v>
      </c>
      <c r="P29" s="53">
        <f>(C29/2.2)*((A29+10)/100)</f>
        <v>0</v>
      </c>
      <c r="Q29" s="54">
        <f>C29/2.2</f>
        <v>0</v>
      </c>
      <c r="R29" s="55" t="e">
        <f>(M29*N29)*D29</f>
        <v>#VALUE!</v>
      </c>
      <c r="S29" s="56" t="e">
        <f>((M29+N29)*4)*D29</f>
        <v>#VALUE!</v>
      </c>
    </row>
    <row r="30" spans="1:19" ht="24" customHeight="1" x14ac:dyDescent="0.25">
      <c r="A30" s="4"/>
      <c r="B30" s="5"/>
      <c r="C30" s="5"/>
      <c r="D30" s="5"/>
      <c r="E30" s="44"/>
      <c r="F30" s="10"/>
      <c r="G30" s="21"/>
      <c r="H30" s="7"/>
      <c r="I30" s="12"/>
      <c r="J30" s="12"/>
      <c r="K30" s="12"/>
      <c r="L30" s="8"/>
      <c r="M30" s="8"/>
      <c r="N30" s="8"/>
      <c r="O30" s="8"/>
      <c r="P30" s="12"/>
      <c r="Q30" s="34"/>
      <c r="R30" s="25"/>
      <c r="S30" s="22"/>
    </row>
    <row r="31" spans="1:19" ht="24" customHeight="1" x14ac:dyDescent="0.25">
      <c r="A31" s="68" t="s">
        <v>25</v>
      </c>
      <c r="B31" s="69"/>
      <c r="C31" s="24">
        <f t="shared" ref="C31:S31" si="16">SUM(C9:C30)</f>
        <v>0</v>
      </c>
      <c r="D31" s="24">
        <f t="shared" si="16"/>
        <v>0</v>
      </c>
      <c r="E31" s="24">
        <f t="shared" si="16"/>
        <v>0</v>
      </c>
      <c r="F31" s="24">
        <f t="shared" si="16"/>
        <v>0</v>
      </c>
      <c r="G31" s="24">
        <f t="shared" si="16"/>
        <v>0</v>
      </c>
      <c r="H31" s="24">
        <f t="shared" si="16"/>
        <v>0</v>
      </c>
      <c r="I31" s="24">
        <f t="shared" si="16"/>
        <v>0</v>
      </c>
      <c r="J31" s="24">
        <f t="shared" si="16"/>
        <v>0</v>
      </c>
      <c r="K31" s="24">
        <f t="shared" si="16"/>
        <v>0</v>
      </c>
      <c r="L31" s="24">
        <f t="shared" si="16"/>
        <v>0</v>
      </c>
      <c r="M31" s="24">
        <f t="shared" si="16"/>
        <v>0</v>
      </c>
      <c r="N31" s="24">
        <f t="shared" si="16"/>
        <v>0</v>
      </c>
      <c r="O31" s="24" t="e">
        <f t="shared" si="16"/>
        <v>#VALUE!</v>
      </c>
      <c r="P31" s="24">
        <f t="shared" si="16"/>
        <v>0</v>
      </c>
      <c r="Q31" s="24">
        <f t="shared" si="16"/>
        <v>0</v>
      </c>
      <c r="R31" s="24" t="e">
        <f t="shared" si="16"/>
        <v>#VALUE!</v>
      </c>
      <c r="S31" s="24" t="e">
        <f t="shared" si="16"/>
        <v>#VALUE!</v>
      </c>
    </row>
    <row r="32" spans="1:19" ht="24" customHeight="1" x14ac:dyDescent="0.25">
      <c r="A32" s="4"/>
      <c r="B32" s="5"/>
      <c r="C32" s="5"/>
      <c r="D32" s="5"/>
      <c r="E32" s="10">
        <f>(A32+B32)*2*C32/9.29*1.2/21</f>
        <v>0</v>
      </c>
      <c r="F32" s="10">
        <f>(A32+B32)*2*C32/9.29*1.2/10.76</f>
        <v>0</v>
      </c>
      <c r="G32" s="11">
        <f>(A32+B32)*2*C32/9.29*1.2</f>
        <v>0</v>
      </c>
      <c r="H32" s="7" t="str">
        <f>IF(A32=0,"",IF(A32&lt;31,"26#",IF(A32&lt;76,"24#",IF(A32&lt;151,"22#",IF(A32&lt;181,"20#",IF(A32&lt;300,"18#"))))))</f>
        <v/>
      </c>
      <c r="I32" s="12">
        <f>((A32+B32)*2*7.85*C32)/100</f>
        <v>0</v>
      </c>
      <c r="J32" s="12"/>
      <c r="K32" s="12"/>
      <c r="L32" s="8"/>
      <c r="M32" s="8"/>
      <c r="N32" s="8"/>
      <c r="O32" s="8"/>
      <c r="P32" s="12"/>
      <c r="Q32" s="34"/>
      <c r="R32" s="25"/>
      <c r="S32" s="22"/>
    </row>
    <row r="33" spans="1:19" ht="24" customHeight="1" x14ac:dyDescent="0.25">
      <c r="A33" s="61" t="s">
        <v>26</v>
      </c>
      <c r="B33" s="62"/>
      <c r="C33" s="63"/>
      <c r="D33" s="13"/>
      <c r="E33" s="14"/>
      <c r="F33" s="15"/>
      <c r="G33" s="15"/>
      <c r="H33" s="16"/>
      <c r="I33" s="12"/>
      <c r="J33" s="12"/>
      <c r="K33" s="12"/>
      <c r="L33" s="12"/>
      <c r="M33" s="12"/>
      <c r="N33" s="12"/>
      <c r="O33" s="12"/>
      <c r="P33" s="17"/>
      <c r="Q33" s="35"/>
      <c r="R33" s="25"/>
      <c r="S33" s="22"/>
    </row>
  </sheetData>
  <mergeCells count="10">
    <mergeCell ref="A3:P3"/>
    <mergeCell ref="A4:P5"/>
    <mergeCell ref="A1:P1"/>
    <mergeCell ref="A2:P2"/>
    <mergeCell ref="A33:C33"/>
    <mergeCell ref="A7:E7"/>
    <mergeCell ref="A6:E6"/>
    <mergeCell ref="F6:H6"/>
    <mergeCell ref="F7:P7"/>
    <mergeCell ref="A31:B31"/>
  </mergeCells>
  <phoneticPr fontId="1" type="noConversion"/>
  <printOptions horizontalCentered="1" verticalCentered="1"/>
  <pageMargins left="0.39370078740157483" right="0.39370078740157483" top="0.39370078740157483" bottom="0.39370078740157483" header="0" footer="0"/>
  <pageSetup paperSize="9" scale="6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S19"/>
  <sheetViews>
    <sheetView showZeros="0" view="pageBreakPreview" zoomScale="55" zoomScaleNormal="75" zoomScaleSheetLayoutView="100" workbookViewId="0">
      <pane xSplit="19" ySplit="8" topLeftCell="T9" activePane="bottomRight" state="frozen"/>
      <selection pane="topRight" activeCell="T1" sqref="T1"/>
      <selection pane="bottomLeft" activeCell="A9" sqref="A9"/>
      <selection pane="bottomRight" activeCell="C15" sqref="A9:C15"/>
    </sheetView>
  </sheetViews>
  <sheetFormatPr defaultRowHeight="24" customHeight="1" x14ac:dyDescent="0.25"/>
  <cols>
    <col min="1" max="1" width="7.75" style="2" customWidth="1"/>
    <col min="2" max="2" width="7.375" style="2" customWidth="1"/>
    <col min="3" max="3" width="9.5" style="2" customWidth="1"/>
    <col min="4" max="4" width="9.625" style="2" customWidth="1"/>
    <col min="5" max="5" width="12.125" style="2" customWidth="1"/>
    <col min="6" max="6" width="12.5" style="2" customWidth="1"/>
    <col min="7" max="7" width="13.5" style="2" customWidth="1"/>
    <col min="8" max="8" width="10.625" style="2" customWidth="1"/>
    <col min="9" max="9" width="11.75" style="2" customWidth="1"/>
    <col min="10" max="10" width="10.625" style="2" customWidth="1"/>
    <col min="11" max="11" width="11.125" style="2" customWidth="1"/>
    <col min="12" max="12" width="10.625" style="2" customWidth="1"/>
    <col min="13" max="13" width="11.5" style="2" customWidth="1"/>
    <col min="14" max="14" width="10.75" style="2" customWidth="1"/>
    <col min="15" max="15" width="11.5" style="2" customWidth="1"/>
    <col min="16" max="16" width="9.75" style="2" customWidth="1"/>
    <col min="17" max="18" width="11.5" style="2" customWidth="1"/>
    <col min="19" max="19" width="12.375" style="2" customWidth="1"/>
    <col min="20" max="16384" width="9" style="2"/>
  </cols>
  <sheetData>
    <row r="1" spans="1:19" ht="50.1" customHeight="1" x14ac:dyDescent="0.25">
      <c r="A1" s="60" t="s">
        <v>27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30"/>
    </row>
    <row r="2" spans="1:19" ht="24" customHeight="1" x14ac:dyDescent="0.25">
      <c r="A2" s="58" t="s">
        <v>28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8"/>
    </row>
    <row r="3" spans="1:19" ht="24" customHeight="1" x14ac:dyDescent="0.25">
      <c r="A3" s="58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8"/>
    </row>
    <row r="4" spans="1:19" ht="28.5" customHeight="1" x14ac:dyDescent="0.25">
      <c r="A4" s="59" t="s">
        <v>57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29"/>
    </row>
    <row r="5" spans="1:19" ht="24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29"/>
    </row>
    <row r="6" spans="1:19" ht="24" customHeight="1" x14ac:dyDescent="0.25">
      <c r="A6" s="65" t="s">
        <v>30</v>
      </c>
      <c r="B6" s="65"/>
      <c r="C6" s="65"/>
      <c r="D6" s="65"/>
      <c r="E6" s="65"/>
      <c r="F6" s="66"/>
      <c r="G6" s="66"/>
      <c r="H6" s="66"/>
      <c r="I6" s="18"/>
      <c r="J6" s="18"/>
      <c r="K6" s="18"/>
      <c r="L6" s="18"/>
      <c r="M6" s="18"/>
      <c r="N6" s="18"/>
      <c r="O6" s="18"/>
      <c r="P6" s="18"/>
      <c r="Q6" s="18"/>
    </row>
    <row r="7" spans="1:19" ht="24" customHeight="1" x14ac:dyDescent="0.25">
      <c r="A7" s="64" t="s">
        <v>31</v>
      </c>
      <c r="B7" s="64"/>
      <c r="C7" s="64"/>
      <c r="D7" s="64"/>
      <c r="E7" s="64"/>
      <c r="F7" s="67" t="s">
        <v>32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32"/>
    </row>
    <row r="8" spans="1:19" s="1" customFormat="1" ht="24" customHeight="1" x14ac:dyDescent="0.25">
      <c r="A8" s="37" t="s">
        <v>33</v>
      </c>
      <c r="B8" s="37" t="s">
        <v>34</v>
      </c>
      <c r="C8" s="37" t="s">
        <v>35</v>
      </c>
      <c r="D8" s="37" t="s">
        <v>36</v>
      </c>
      <c r="E8" s="42" t="s">
        <v>37</v>
      </c>
      <c r="F8" s="37" t="s">
        <v>38</v>
      </c>
      <c r="G8" s="38" t="s">
        <v>39</v>
      </c>
      <c r="H8" s="37" t="s">
        <v>40</v>
      </c>
      <c r="I8" s="39" t="s">
        <v>41</v>
      </c>
      <c r="J8" s="39" t="s">
        <v>42</v>
      </c>
      <c r="K8" s="39" t="s">
        <v>43</v>
      </c>
      <c r="L8" s="39" t="s">
        <v>44</v>
      </c>
      <c r="M8" s="19" t="s">
        <v>45</v>
      </c>
      <c r="N8" s="19" t="s">
        <v>46</v>
      </c>
      <c r="O8" s="31" t="s">
        <v>47</v>
      </c>
      <c r="P8" s="3" t="s">
        <v>48</v>
      </c>
      <c r="Q8" s="36" t="s">
        <v>49</v>
      </c>
      <c r="R8" s="27" t="s">
        <v>50</v>
      </c>
      <c r="S8" s="26" t="s">
        <v>51</v>
      </c>
    </row>
    <row r="9" spans="1:19" s="1" customFormat="1" ht="24" customHeight="1" x14ac:dyDescent="0.25">
      <c r="A9" s="4"/>
      <c r="B9" s="5"/>
      <c r="C9" s="5"/>
      <c r="D9" s="6">
        <f t="shared" ref="D9:D15" si="0">C9/1.2</f>
        <v>0</v>
      </c>
      <c r="E9" s="43">
        <f t="shared" ref="E9:E15" si="1">(A9+B9)*2*C9/9.29*1.2/21</f>
        <v>0</v>
      </c>
      <c r="F9" s="20">
        <f t="shared" ref="F9:F15" si="2">(A9+B9)*2*C9/9.29*1.2/10.76</f>
        <v>0</v>
      </c>
      <c r="G9" s="21">
        <f t="shared" ref="G9:G15" si="3">(A9+B9)*2*C9/9.29*1.2</f>
        <v>0</v>
      </c>
      <c r="H9" s="7" t="str">
        <f t="shared" ref="H9:H15" si="4">IF(A9=0,"",IF(A9&lt;31,"26#",IF(A9&lt;76,"24#",IF(A9&lt;151,"22#",IF(A9&lt;225,"20#",IF(A9&lt;300,"18#"))))))</f>
        <v/>
      </c>
      <c r="I9" s="9">
        <f t="shared" ref="I9:I15" si="5">((A9+B9)*2*7.85*C9)/100</f>
        <v>0</v>
      </c>
      <c r="J9" s="9">
        <f t="shared" ref="J9:J15" si="6">(C9/1.2)*8</f>
        <v>0</v>
      </c>
      <c r="K9" s="9">
        <f t="shared" ref="K9:K15" si="7">(((A9+B9)*2)/15)*D9</f>
        <v>0</v>
      </c>
      <c r="L9" s="40">
        <f t="shared" ref="L9:L15" si="8">(((A9+B9)*2)*D9)/100</f>
        <v>0</v>
      </c>
      <c r="M9" s="9" t="str">
        <f t="shared" ref="M9:M15" si="9">IF(A9=0,"",IF(A9&lt;75,"0",IF(A9&lt;150,"1",IF(A9&lt;300,"2",IF(A9&lt;450,"3")))))</f>
        <v/>
      </c>
      <c r="N9" s="9" t="str">
        <f t="shared" ref="N9:N15" si="10">IF(B9=0,"",IF(B9&lt;75,"0",IF(B9&lt;150,"1",IF(B9&lt;300,"2"))))</f>
        <v/>
      </c>
      <c r="O9" s="40" t="e">
        <f t="shared" ref="O9:O15" si="11">(((B9/100)*M9)+((A9/100)*N9))*D9</f>
        <v>#VALUE!</v>
      </c>
      <c r="P9" s="41">
        <f t="shared" ref="P9:P15" si="12">(C9/2.2)*((A9+10)/100)</f>
        <v>0</v>
      </c>
      <c r="Q9" s="33">
        <f t="shared" ref="Q9:Q15" si="13">C9/2.2</f>
        <v>0</v>
      </c>
      <c r="R9" s="23" t="e">
        <f t="shared" ref="R9:R15" si="14">(M9*N9)*D9</f>
        <v>#VALUE!</v>
      </c>
      <c r="S9" s="8" t="e">
        <f t="shared" ref="S9:S15" si="15">((M9+N9)*4)*D9</f>
        <v>#VALUE!</v>
      </c>
    </row>
    <row r="10" spans="1:19" ht="24" customHeight="1" x14ac:dyDescent="0.25">
      <c r="A10" s="4"/>
      <c r="B10" s="5"/>
      <c r="C10" s="5"/>
      <c r="D10" s="6">
        <f t="shared" si="0"/>
        <v>0</v>
      </c>
      <c r="E10" s="43">
        <f t="shared" si="1"/>
        <v>0</v>
      </c>
      <c r="F10" s="20">
        <f t="shared" si="2"/>
        <v>0</v>
      </c>
      <c r="G10" s="21">
        <f t="shared" si="3"/>
        <v>0</v>
      </c>
      <c r="H10" s="7" t="str">
        <f t="shared" si="4"/>
        <v/>
      </c>
      <c r="I10" s="9">
        <f t="shared" si="5"/>
        <v>0</v>
      </c>
      <c r="J10" s="9">
        <f t="shared" si="6"/>
        <v>0</v>
      </c>
      <c r="K10" s="9">
        <f t="shared" si="7"/>
        <v>0</v>
      </c>
      <c r="L10" s="40">
        <f t="shared" si="8"/>
        <v>0</v>
      </c>
      <c r="M10" s="9" t="str">
        <f t="shared" si="9"/>
        <v/>
      </c>
      <c r="N10" s="9" t="str">
        <f t="shared" si="10"/>
        <v/>
      </c>
      <c r="O10" s="40" t="e">
        <f t="shared" si="11"/>
        <v>#VALUE!</v>
      </c>
      <c r="P10" s="41">
        <f t="shared" si="12"/>
        <v>0</v>
      </c>
      <c r="Q10" s="33">
        <f t="shared" si="13"/>
        <v>0</v>
      </c>
      <c r="R10" s="23" t="e">
        <f t="shared" si="14"/>
        <v>#VALUE!</v>
      </c>
      <c r="S10" s="8" t="e">
        <f t="shared" si="15"/>
        <v>#VALUE!</v>
      </c>
    </row>
    <row r="11" spans="1:19" ht="24" customHeight="1" x14ac:dyDescent="0.25">
      <c r="A11" s="4"/>
      <c r="B11" s="5"/>
      <c r="C11" s="5"/>
      <c r="D11" s="6">
        <f t="shared" si="0"/>
        <v>0</v>
      </c>
      <c r="E11" s="43">
        <f t="shared" si="1"/>
        <v>0</v>
      </c>
      <c r="F11" s="20">
        <f t="shared" si="2"/>
        <v>0</v>
      </c>
      <c r="G11" s="21">
        <f t="shared" si="3"/>
        <v>0</v>
      </c>
      <c r="H11" s="7" t="str">
        <f t="shared" si="4"/>
        <v/>
      </c>
      <c r="I11" s="9">
        <f t="shared" si="5"/>
        <v>0</v>
      </c>
      <c r="J11" s="9">
        <f t="shared" si="6"/>
        <v>0</v>
      </c>
      <c r="K11" s="9">
        <f t="shared" si="7"/>
        <v>0</v>
      </c>
      <c r="L11" s="40">
        <f t="shared" si="8"/>
        <v>0</v>
      </c>
      <c r="M11" s="9" t="str">
        <f t="shared" si="9"/>
        <v/>
      </c>
      <c r="N11" s="9" t="str">
        <f t="shared" si="10"/>
        <v/>
      </c>
      <c r="O11" s="40" t="e">
        <f t="shared" si="11"/>
        <v>#VALUE!</v>
      </c>
      <c r="P11" s="41">
        <f t="shared" si="12"/>
        <v>0</v>
      </c>
      <c r="Q11" s="33">
        <f t="shared" si="13"/>
        <v>0</v>
      </c>
      <c r="R11" s="23" t="e">
        <f t="shared" si="14"/>
        <v>#VALUE!</v>
      </c>
      <c r="S11" s="8" t="e">
        <f t="shared" si="15"/>
        <v>#VALUE!</v>
      </c>
    </row>
    <row r="12" spans="1:19" ht="24" customHeight="1" x14ac:dyDescent="0.25">
      <c r="A12" s="4"/>
      <c r="B12" s="5"/>
      <c r="C12" s="5"/>
      <c r="D12" s="6">
        <f t="shared" si="0"/>
        <v>0</v>
      </c>
      <c r="E12" s="43">
        <f t="shared" si="1"/>
        <v>0</v>
      </c>
      <c r="F12" s="20">
        <f t="shared" si="2"/>
        <v>0</v>
      </c>
      <c r="G12" s="21">
        <f t="shared" si="3"/>
        <v>0</v>
      </c>
      <c r="H12" s="7" t="str">
        <f t="shared" si="4"/>
        <v/>
      </c>
      <c r="I12" s="9">
        <f t="shared" si="5"/>
        <v>0</v>
      </c>
      <c r="J12" s="9">
        <f t="shared" si="6"/>
        <v>0</v>
      </c>
      <c r="K12" s="9">
        <f t="shared" si="7"/>
        <v>0</v>
      </c>
      <c r="L12" s="40">
        <f t="shared" si="8"/>
        <v>0</v>
      </c>
      <c r="M12" s="9" t="str">
        <f t="shared" si="9"/>
        <v/>
      </c>
      <c r="N12" s="9" t="str">
        <f t="shared" si="10"/>
        <v/>
      </c>
      <c r="O12" s="40" t="e">
        <f t="shared" si="11"/>
        <v>#VALUE!</v>
      </c>
      <c r="P12" s="41">
        <f t="shared" si="12"/>
        <v>0</v>
      </c>
      <c r="Q12" s="33">
        <f t="shared" si="13"/>
        <v>0</v>
      </c>
      <c r="R12" s="23" t="e">
        <f t="shared" si="14"/>
        <v>#VALUE!</v>
      </c>
      <c r="S12" s="8" t="e">
        <f t="shared" si="15"/>
        <v>#VALUE!</v>
      </c>
    </row>
    <row r="13" spans="1:19" ht="24" customHeight="1" x14ac:dyDescent="0.25">
      <c r="A13" s="4"/>
      <c r="B13" s="5"/>
      <c r="C13" s="5"/>
      <c r="D13" s="6">
        <f t="shared" si="0"/>
        <v>0</v>
      </c>
      <c r="E13" s="43">
        <f t="shared" si="1"/>
        <v>0</v>
      </c>
      <c r="F13" s="20">
        <f t="shared" si="2"/>
        <v>0</v>
      </c>
      <c r="G13" s="21">
        <f t="shared" si="3"/>
        <v>0</v>
      </c>
      <c r="H13" s="7" t="str">
        <f t="shared" si="4"/>
        <v/>
      </c>
      <c r="I13" s="9">
        <f t="shared" si="5"/>
        <v>0</v>
      </c>
      <c r="J13" s="9">
        <f t="shared" si="6"/>
        <v>0</v>
      </c>
      <c r="K13" s="9">
        <f t="shared" si="7"/>
        <v>0</v>
      </c>
      <c r="L13" s="40">
        <f t="shared" si="8"/>
        <v>0</v>
      </c>
      <c r="M13" s="9" t="str">
        <f t="shared" si="9"/>
        <v/>
      </c>
      <c r="N13" s="9" t="str">
        <f t="shared" si="10"/>
        <v/>
      </c>
      <c r="O13" s="40" t="e">
        <f t="shared" si="11"/>
        <v>#VALUE!</v>
      </c>
      <c r="P13" s="41">
        <f t="shared" si="12"/>
        <v>0</v>
      </c>
      <c r="Q13" s="33">
        <f t="shared" si="13"/>
        <v>0</v>
      </c>
      <c r="R13" s="23" t="e">
        <f t="shared" si="14"/>
        <v>#VALUE!</v>
      </c>
      <c r="S13" s="8" t="e">
        <f t="shared" si="15"/>
        <v>#VALUE!</v>
      </c>
    </row>
    <row r="14" spans="1:19" s="57" customFormat="1" ht="24" customHeight="1" x14ac:dyDescent="0.25">
      <c r="A14" s="45"/>
      <c r="B14" s="46"/>
      <c r="C14" s="46"/>
      <c r="D14" s="47">
        <f t="shared" si="0"/>
        <v>0</v>
      </c>
      <c r="E14" s="48">
        <f t="shared" si="1"/>
        <v>0</v>
      </c>
      <c r="F14" s="48">
        <f t="shared" si="2"/>
        <v>0</v>
      </c>
      <c r="G14" s="49">
        <f t="shared" si="3"/>
        <v>0</v>
      </c>
      <c r="H14" s="50" t="str">
        <f t="shared" si="4"/>
        <v/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2">
        <f t="shared" si="8"/>
        <v>0</v>
      </c>
      <c r="M14" s="51" t="str">
        <f t="shared" si="9"/>
        <v/>
      </c>
      <c r="N14" s="51" t="str">
        <f t="shared" si="10"/>
        <v/>
      </c>
      <c r="O14" s="52" t="e">
        <f t="shared" si="11"/>
        <v>#VALUE!</v>
      </c>
      <c r="P14" s="53">
        <f t="shared" si="12"/>
        <v>0</v>
      </c>
      <c r="Q14" s="54">
        <f t="shared" si="13"/>
        <v>0</v>
      </c>
      <c r="R14" s="55" t="e">
        <f t="shared" si="14"/>
        <v>#VALUE!</v>
      </c>
      <c r="S14" s="56" t="e">
        <f t="shared" si="15"/>
        <v>#VALUE!</v>
      </c>
    </row>
    <row r="15" spans="1:19" s="57" customFormat="1" ht="24" customHeight="1" x14ac:dyDescent="0.25">
      <c r="A15" s="45"/>
      <c r="B15" s="46"/>
      <c r="C15" s="46"/>
      <c r="D15" s="47">
        <f t="shared" si="0"/>
        <v>0</v>
      </c>
      <c r="E15" s="48">
        <f t="shared" si="1"/>
        <v>0</v>
      </c>
      <c r="F15" s="48">
        <f t="shared" si="2"/>
        <v>0</v>
      </c>
      <c r="G15" s="49">
        <f t="shared" si="3"/>
        <v>0</v>
      </c>
      <c r="H15" s="50" t="str">
        <f t="shared" si="4"/>
        <v/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2">
        <f t="shared" si="8"/>
        <v>0</v>
      </c>
      <c r="M15" s="51" t="str">
        <f t="shared" si="9"/>
        <v/>
      </c>
      <c r="N15" s="51" t="str">
        <f t="shared" si="10"/>
        <v/>
      </c>
      <c r="O15" s="52" t="e">
        <f t="shared" si="11"/>
        <v>#VALUE!</v>
      </c>
      <c r="P15" s="53">
        <f t="shared" si="12"/>
        <v>0</v>
      </c>
      <c r="Q15" s="54">
        <f t="shared" si="13"/>
        <v>0</v>
      </c>
      <c r="R15" s="55" t="e">
        <f t="shared" si="14"/>
        <v>#VALUE!</v>
      </c>
      <c r="S15" s="56" t="e">
        <f t="shared" si="15"/>
        <v>#VALUE!</v>
      </c>
    </row>
    <row r="16" spans="1:19" ht="24" customHeight="1" x14ac:dyDescent="0.25">
      <c r="A16" s="4"/>
      <c r="B16" s="5"/>
      <c r="C16" s="5"/>
      <c r="D16" s="5"/>
      <c r="E16" s="44"/>
      <c r="F16" s="10"/>
      <c r="G16" s="21"/>
      <c r="H16" s="7"/>
      <c r="I16" s="12"/>
      <c r="J16" s="12"/>
      <c r="K16" s="12"/>
      <c r="L16" s="8"/>
      <c r="M16" s="8"/>
      <c r="N16" s="8"/>
      <c r="O16" s="8"/>
      <c r="P16" s="12"/>
      <c r="Q16" s="34"/>
      <c r="R16" s="25"/>
      <c r="S16" s="22"/>
    </row>
    <row r="17" spans="1:19" ht="24" customHeight="1" x14ac:dyDescent="0.25">
      <c r="A17" s="68" t="s">
        <v>52</v>
      </c>
      <c r="B17" s="69"/>
      <c r="C17" s="24">
        <f t="shared" ref="C17:S17" si="16">SUM(C9:C16)</f>
        <v>0</v>
      </c>
      <c r="D17" s="24">
        <f t="shared" si="16"/>
        <v>0</v>
      </c>
      <c r="E17" s="24">
        <f t="shared" si="16"/>
        <v>0</v>
      </c>
      <c r="F17" s="24">
        <f t="shared" si="16"/>
        <v>0</v>
      </c>
      <c r="G17" s="24">
        <f t="shared" si="16"/>
        <v>0</v>
      </c>
      <c r="H17" s="24">
        <f t="shared" si="16"/>
        <v>0</v>
      </c>
      <c r="I17" s="24">
        <f t="shared" si="16"/>
        <v>0</v>
      </c>
      <c r="J17" s="24">
        <f t="shared" si="16"/>
        <v>0</v>
      </c>
      <c r="K17" s="24">
        <f t="shared" si="16"/>
        <v>0</v>
      </c>
      <c r="L17" s="24">
        <f t="shared" si="16"/>
        <v>0</v>
      </c>
      <c r="M17" s="24">
        <f t="shared" si="16"/>
        <v>0</v>
      </c>
      <c r="N17" s="24">
        <f t="shared" si="16"/>
        <v>0</v>
      </c>
      <c r="O17" s="24" t="e">
        <f t="shared" si="16"/>
        <v>#VALUE!</v>
      </c>
      <c r="P17" s="24">
        <f t="shared" si="16"/>
        <v>0</v>
      </c>
      <c r="Q17" s="24">
        <f t="shared" si="16"/>
        <v>0</v>
      </c>
      <c r="R17" s="24" t="e">
        <f t="shared" si="16"/>
        <v>#VALUE!</v>
      </c>
      <c r="S17" s="24" t="e">
        <f t="shared" si="16"/>
        <v>#VALUE!</v>
      </c>
    </row>
    <row r="18" spans="1:19" ht="24" customHeight="1" x14ac:dyDescent="0.25">
      <c r="A18" s="4"/>
      <c r="B18" s="5"/>
      <c r="C18" s="5"/>
      <c r="D18" s="5"/>
      <c r="E18" s="10">
        <f>(A18+B18)*2*C18/9.29*1.2/21</f>
        <v>0</v>
      </c>
      <c r="F18" s="10">
        <f>(A18+B18)*2*C18/9.29*1.2/10.76</f>
        <v>0</v>
      </c>
      <c r="G18" s="11">
        <f>(A18+B18)*2*C18/9.29*1.2</f>
        <v>0</v>
      </c>
      <c r="H18" s="7" t="str">
        <f>IF(A18=0,"",IF(A18&lt;31,"26#",IF(A18&lt;76,"24#",IF(A18&lt;151,"22#",IF(A18&lt;181,"20#",IF(A18&lt;300,"18#"))))))</f>
        <v/>
      </c>
      <c r="I18" s="12">
        <f>((A18+B18)*2*7.85*C18)/100</f>
        <v>0</v>
      </c>
      <c r="J18" s="12"/>
      <c r="K18" s="12"/>
      <c r="L18" s="8"/>
      <c r="M18" s="8"/>
      <c r="N18" s="8"/>
      <c r="O18" s="8"/>
      <c r="P18" s="12"/>
      <c r="Q18" s="34"/>
      <c r="R18" s="25"/>
      <c r="S18" s="22"/>
    </row>
    <row r="19" spans="1:19" ht="24" customHeight="1" x14ac:dyDescent="0.25">
      <c r="A19" s="61" t="s">
        <v>53</v>
      </c>
      <c r="B19" s="62"/>
      <c r="C19" s="63"/>
      <c r="D19" s="13"/>
      <c r="E19" s="14"/>
      <c r="F19" s="15"/>
      <c r="G19" s="15"/>
      <c r="H19" s="16"/>
      <c r="I19" s="12"/>
      <c r="J19" s="12"/>
      <c r="K19" s="12"/>
      <c r="L19" s="12"/>
      <c r="M19" s="12"/>
      <c r="N19" s="12"/>
      <c r="O19" s="12"/>
      <c r="P19" s="17"/>
      <c r="Q19" s="35"/>
      <c r="R19" s="25"/>
      <c r="S19" s="22"/>
    </row>
  </sheetData>
  <mergeCells count="10">
    <mergeCell ref="A3:P3"/>
    <mergeCell ref="A4:P5"/>
    <mergeCell ref="A1:P1"/>
    <mergeCell ref="A2:P2"/>
    <mergeCell ref="A19:C19"/>
    <mergeCell ref="A7:E7"/>
    <mergeCell ref="A6:E6"/>
    <mergeCell ref="F6:H6"/>
    <mergeCell ref="F7:P7"/>
    <mergeCell ref="A17:B17"/>
  </mergeCells>
  <phoneticPr fontId="1" type="noConversion"/>
  <printOptions horizontalCentered="1" verticalCentered="1"/>
  <pageMargins left="0.39370078740157483" right="0.39370078740157483" top="0.39370078740157483" bottom="0.39370078740157483" header="0" footer="0"/>
  <pageSetup paperSize="9" scale="69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S29"/>
  <sheetViews>
    <sheetView showZeros="0" view="pageBreakPreview" zoomScale="55" zoomScaleNormal="75" zoomScaleSheetLayoutView="100" workbookViewId="0">
      <pane xSplit="19" ySplit="8" topLeftCell="T9" activePane="bottomRight" state="frozen"/>
      <selection pane="topRight" activeCell="T1" sqref="T1"/>
      <selection pane="bottomLeft" activeCell="A9" sqref="A9"/>
      <selection pane="bottomRight" activeCell="C25" sqref="A9:C25"/>
    </sheetView>
  </sheetViews>
  <sheetFormatPr defaultRowHeight="24" customHeight="1" x14ac:dyDescent="0.25"/>
  <cols>
    <col min="1" max="1" width="7.75" style="2" customWidth="1"/>
    <col min="2" max="2" width="7.375" style="2" customWidth="1"/>
    <col min="3" max="3" width="9.5" style="2" customWidth="1"/>
    <col min="4" max="4" width="9.625" style="2" customWidth="1"/>
    <col min="5" max="5" width="12.125" style="2" customWidth="1"/>
    <col min="6" max="6" width="12.5" style="2" customWidth="1"/>
    <col min="7" max="7" width="13.5" style="2" customWidth="1"/>
    <col min="8" max="8" width="10.625" style="2" customWidth="1"/>
    <col min="9" max="9" width="11.75" style="2" customWidth="1"/>
    <col min="10" max="10" width="10.625" style="2" customWidth="1"/>
    <col min="11" max="11" width="11.125" style="2" customWidth="1"/>
    <col min="12" max="12" width="10.625" style="2" customWidth="1"/>
    <col min="13" max="13" width="11.5" style="2" customWidth="1"/>
    <col min="14" max="14" width="10.75" style="2" customWidth="1"/>
    <col min="15" max="15" width="11.5" style="2" customWidth="1"/>
    <col min="16" max="16" width="9.75" style="2" customWidth="1"/>
    <col min="17" max="18" width="11.5" style="2" customWidth="1"/>
    <col min="19" max="19" width="12.375" style="2" customWidth="1"/>
    <col min="20" max="16384" width="9" style="2"/>
  </cols>
  <sheetData>
    <row r="1" spans="1:19" ht="50.1" customHeight="1" x14ac:dyDescent="0.25">
      <c r="A1" s="60" t="s">
        <v>58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30"/>
    </row>
    <row r="2" spans="1:19" ht="24" customHeight="1" x14ac:dyDescent="0.25">
      <c r="A2" s="58" t="s">
        <v>59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8"/>
    </row>
    <row r="3" spans="1:19" ht="24" customHeight="1" x14ac:dyDescent="0.25">
      <c r="A3" s="58" t="s">
        <v>60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28"/>
    </row>
    <row r="4" spans="1:19" ht="28.5" customHeight="1" x14ac:dyDescent="0.25">
      <c r="A4" s="59" t="s">
        <v>61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29"/>
    </row>
    <row r="5" spans="1:19" ht="24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29"/>
    </row>
    <row r="6" spans="1:19" ht="24" customHeight="1" x14ac:dyDescent="0.25">
      <c r="A6" s="65" t="s">
        <v>62</v>
      </c>
      <c r="B6" s="65"/>
      <c r="C6" s="65"/>
      <c r="D6" s="65"/>
      <c r="E6" s="65"/>
      <c r="F6" s="66"/>
      <c r="G6" s="66"/>
      <c r="H6" s="66"/>
      <c r="I6" s="18"/>
      <c r="J6" s="18"/>
      <c r="K6" s="18"/>
      <c r="L6" s="18"/>
      <c r="M6" s="18"/>
      <c r="N6" s="18"/>
      <c r="O6" s="18"/>
      <c r="P6" s="18"/>
      <c r="Q6" s="18"/>
    </row>
    <row r="7" spans="1:19" ht="24" customHeight="1" x14ac:dyDescent="0.25">
      <c r="A7" s="64" t="s">
        <v>63</v>
      </c>
      <c r="B7" s="64"/>
      <c r="C7" s="64"/>
      <c r="D7" s="64"/>
      <c r="E7" s="64"/>
      <c r="F7" s="67" t="s">
        <v>64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32"/>
    </row>
    <row r="8" spans="1:19" s="1" customFormat="1" ht="24" customHeight="1" x14ac:dyDescent="0.25">
      <c r="A8" s="37" t="s">
        <v>65</v>
      </c>
      <c r="B8" s="37" t="s">
        <v>66</v>
      </c>
      <c r="C8" s="37" t="s">
        <v>67</v>
      </c>
      <c r="D8" s="37" t="s">
        <v>68</v>
      </c>
      <c r="E8" s="42" t="s">
        <v>69</v>
      </c>
      <c r="F8" s="37" t="s">
        <v>70</v>
      </c>
      <c r="G8" s="38" t="s">
        <v>71</v>
      </c>
      <c r="H8" s="37" t="s">
        <v>72</v>
      </c>
      <c r="I8" s="39" t="s">
        <v>73</v>
      </c>
      <c r="J8" s="39" t="s">
        <v>74</v>
      </c>
      <c r="K8" s="39" t="s">
        <v>75</v>
      </c>
      <c r="L8" s="39" t="s">
        <v>76</v>
      </c>
      <c r="M8" s="19" t="s">
        <v>77</v>
      </c>
      <c r="N8" s="19" t="s">
        <v>78</v>
      </c>
      <c r="O8" s="31" t="s">
        <v>79</v>
      </c>
      <c r="P8" s="3" t="s">
        <v>80</v>
      </c>
      <c r="Q8" s="36" t="s">
        <v>81</v>
      </c>
      <c r="R8" s="27" t="s">
        <v>82</v>
      </c>
      <c r="S8" s="26" t="s">
        <v>83</v>
      </c>
    </row>
    <row r="9" spans="1:19" s="1" customFormat="1" ht="24" customHeight="1" x14ac:dyDescent="0.25">
      <c r="A9" s="4"/>
      <c r="B9" s="5"/>
      <c r="C9" s="5"/>
      <c r="D9" s="6">
        <f t="shared" ref="D9:D25" si="0">C9/1.2</f>
        <v>0</v>
      </c>
      <c r="E9" s="43">
        <f>(A9+B9)*2*C9/9.29*1.2/21</f>
        <v>0</v>
      </c>
      <c r="F9" s="20">
        <f>(A9+B9)*2*C9/9.29*1.2/10.76</f>
        <v>0</v>
      </c>
      <c r="G9" s="21">
        <f>(A9+B9)*2*C9/9.29*1.2</f>
        <v>0</v>
      </c>
      <c r="H9" s="7" t="str">
        <f>IF(A9=0,"",IF(A9&lt;31,"26#",IF(A9&lt;76,"24#",IF(A9&lt;151,"22#",IF(A9&lt;225,"20#",IF(A9&lt;300,"18#"))))))</f>
        <v/>
      </c>
      <c r="I9" s="9">
        <f>((A9+B9)*2*7.85*C9)/100</f>
        <v>0</v>
      </c>
      <c r="J9" s="9">
        <f>(C9/1.2)*8</f>
        <v>0</v>
      </c>
      <c r="K9" s="9">
        <f>(((A9+B9)*2)/15)*D9</f>
        <v>0</v>
      </c>
      <c r="L9" s="40">
        <f>(((A9+B9)*2)*D9)/100</f>
        <v>0</v>
      </c>
      <c r="M9" s="9" t="str">
        <f>IF(A9=0,"",IF(A9&lt;75,"0",IF(A9&lt;150,"1",IF(A9&lt;300,"2",IF(A9&lt;450,"3")))))</f>
        <v/>
      </c>
      <c r="N9" s="9" t="str">
        <f>IF(B9=0,"",IF(B9&lt;75,"0",IF(B9&lt;150,"1",IF(B9&lt;300,"2"))))</f>
        <v/>
      </c>
      <c r="O9" s="40" t="e">
        <f>(((B9/100)*M9)+((A9/100)*N9))*D9</f>
        <v>#VALUE!</v>
      </c>
      <c r="P9" s="41">
        <f>(C9/2.2)*((A9+10)/100)</f>
        <v>0</v>
      </c>
      <c r="Q9" s="33">
        <f>C9/2.2</f>
        <v>0</v>
      </c>
      <c r="R9" s="23" t="e">
        <f>(M9*N9)*D9</f>
        <v>#VALUE!</v>
      </c>
      <c r="S9" s="8" t="e">
        <f>((M9+N9)*4)*D9</f>
        <v>#VALUE!</v>
      </c>
    </row>
    <row r="10" spans="1:19" ht="24" customHeight="1" x14ac:dyDescent="0.25">
      <c r="A10" s="4"/>
      <c r="B10" s="5"/>
      <c r="C10" s="5"/>
      <c r="D10" s="6">
        <f t="shared" si="0"/>
        <v>0</v>
      </c>
      <c r="E10" s="43">
        <f>(A10+B10)*2*C10/9.29*1.2/21</f>
        <v>0</v>
      </c>
      <c r="F10" s="20">
        <f>(A10+B10)*2*C10/9.29*1.2/10.76</f>
        <v>0</v>
      </c>
      <c r="G10" s="21">
        <f>(A10+B10)*2*C10/9.29*1.2</f>
        <v>0</v>
      </c>
      <c r="H10" s="7" t="str">
        <f>IF(A10=0,"",IF(A10&lt;31,"26#",IF(A10&lt;76,"24#",IF(A10&lt;151,"22#",IF(A10&lt;225,"20#",IF(A10&lt;300,"18#"))))))</f>
        <v/>
      </c>
      <c r="I10" s="9">
        <f>((A10+B10)*2*7.85*C10)/100</f>
        <v>0</v>
      </c>
      <c r="J10" s="9">
        <f>(C10/1.2)*8</f>
        <v>0</v>
      </c>
      <c r="K10" s="9">
        <f>(((A10+B10)*2)/15)*D10</f>
        <v>0</v>
      </c>
      <c r="L10" s="40">
        <f>(((A10+B10)*2)*D10)/100</f>
        <v>0</v>
      </c>
      <c r="M10" s="9" t="str">
        <f>IF(A10=0,"",IF(A10&lt;75,"0",IF(A10&lt;150,"1",IF(A10&lt;300,"2",IF(A10&lt;450,"3")))))</f>
        <v/>
      </c>
      <c r="N10" s="9" t="str">
        <f>IF(B10=0,"",IF(B10&lt;75,"0",IF(B10&lt;150,"1",IF(B10&lt;300,"2"))))</f>
        <v/>
      </c>
      <c r="O10" s="40" t="e">
        <f>(((B10/100)*M10)+((A10/100)*N10))*D10</f>
        <v>#VALUE!</v>
      </c>
      <c r="P10" s="41">
        <f>(C10/2.2)*((A10+10)/100)</f>
        <v>0</v>
      </c>
      <c r="Q10" s="33">
        <f>C10/2.2</f>
        <v>0</v>
      </c>
      <c r="R10" s="23" t="e">
        <f>(M10*N10)*D10</f>
        <v>#VALUE!</v>
      </c>
      <c r="S10" s="8" t="e">
        <f>((M10+N10)*4)*D10</f>
        <v>#VALUE!</v>
      </c>
    </row>
    <row r="11" spans="1:19" ht="24" customHeight="1" x14ac:dyDescent="0.25">
      <c r="A11" s="4"/>
      <c r="B11" s="5"/>
      <c r="C11" s="5"/>
      <c r="D11" s="6">
        <f t="shared" si="0"/>
        <v>0</v>
      </c>
      <c r="E11" s="43">
        <f>(A11+B11)*2*C11/9.29*1.2/21</f>
        <v>0</v>
      </c>
      <c r="F11" s="20">
        <f>(A11+B11)*2*C11/9.29*1.2/10.76</f>
        <v>0</v>
      </c>
      <c r="G11" s="21">
        <f>(A11+B11)*2*C11/9.29*1.2</f>
        <v>0</v>
      </c>
      <c r="H11" s="7" t="str">
        <f>IF(A11=0,"",IF(A11&lt;31,"26#",IF(A11&lt;76,"24#",IF(A11&lt;151,"22#",IF(A11&lt;225,"20#",IF(A11&lt;300,"18#"))))))</f>
        <v/>
      </c>
      <c r="I11" s="9">
        <f>((A11+B11)*2*7.85*C11)/100</f>
        <v>0</v>
      </c>
      <c r="J11" s="9">
        <f>(C11/1.2)*8</f>
        <v>0</v>
      </c>
      <c r="K11" s="9">
        <f>(((A11+B11)*2)/15)*D11</f>
        <v>0</v>
      </c>
      <c r="L11" s="40">
        <f>(((A11+B11)*2)*D11)/100</f>
        <v>0</v>
      </c>
      <c r="M11" s="9" t="str">
        <f>IF(A11=0,"",IF(A11&lt;75,"0",IF(A11&lt;150,"1",IF(A11&lt;300,"2",IF(A11&lt;450,"3")))))</f>
        <v/>
      </c>
      <c r="N11" s="9" t="str">
        <f>IF(B11=0,"",IF(B11&lt;75,"0",IF(B11&lt;150,"1",IF(B11&lt;300,"2"))))</f>
        <v/>
      </c>
      <c r="O11" s="40" t="e">
        <f>(((B11/100)*M11)+((A11/100)*N11))*D11</f>
        <v>#VALUE!</v>
      </c>
      <c r="P11" s="41">
        <f>(C11/2.2)*((A11+10)/100)</f>
        <v>0</v>
      </c>
      <c r="Q11" s="33">
        <f>C11/2.2</f>
        <v>0</v>
      </c>
      <c r="R11" s="23" t="e">
        <f>(M11*N11)*D11</f>
        <v>#VALUE!</v>
      </c>
      <c r="S11" s="8" t="e">
        <f>((M11+N11)*4)*D11</f>
        <v>#VALUE!</v>
      </c>
    </row>
    <row r="12" spans="1:19" ht="24" customHeight="1" x14ac:dyDescent="0.25">
      <c r="A12" s="4"/>
      <c r="B12" s="5"/>
      <c r="C12" s="5"/>
      <c r="D12" s="6">
        <f t="shared" si="0"/>
        <v>0</v>
      </c>
      <c r="E12" s="43">
        <f t="shared" ref="E12:E25" si="1">(A12+B12)*2*C12/9.29*1.2/21</f>
        <v>0</v>
      </c>
      <c r="F12" s="20">
        <f t="shared" ref="F12:F25" si="2">(A12+B12)*2*C12/9.29*1.2/10.76</f>
        <v>0</v>
      </c>
      <c r="G12" s="21">
        <f t="shared" ref="G12:G25" si="3">(A12+B12)*2*C12/9.29*1.2</f>
        <v>0</v>
      </c>
      <c r="H12" s="7" t="str">
        <f t="shared" ref="H12:H25" si="4">IF(A12=0,"",IF(A12&lt;31,"26#",IF(A12&lt;76,"24#",IF(A12&lt;151,"22#",IF(A12&lt;225,"20#",IF(A12&lt;300,"18#"))))))</f>
        <v/>
      </c>
      <c r="I12" s="9">
        <f t="shared" ref="I12:I25" si="5">((A12+B12)*2*7.85*C12)/100</f>
        <v>0</v>
      </c>
      <c r="J12" s="9">
        <f t="shared" ref="J12:J25" si="6">(C12/1.2)*8</f>
        <v>0</v>
      </c>
      <c r="K12" s="9">
        <f t="shared" ref="K12:K25" si="7">(((A12+B12)*2)/15)*D12</f>
        <v>0</v>
      </c>
      <c r="L12" s="40">
        <f t="shared" ref="L12:L25" si="8">(((A12+B12)*2)*D12)/100</f>
        <v>0</v>
      </c>
      <c r="M12" s="9" t="str">
        <f t="shared" ref="M12:M25" si="9">IF(A12=0,"",IF(A12&lt;75,"0",IF(A12&lt;150,"1",IF(A12&lt;300,"2",IF(A12&lt;450,"3")))))</f>
        <v/>
      </c>
      <c r="N12" s="9" t="str">
        <f t="shared" ref="N12:N25" si="10">IF(B12=0,"",IF(B12&lt;75,"0",IF(B12&lt;150,"1",IF(B12&lt;300,"2"))))</f>
        <v/>
      </c>
      <c r="O12" s="40" t="e">
        <f t="shared" ref="O12:O25" si="11">(((B12/100)*M12)+((A12/100)*N12))*D12</f>
        <v>#VALUE!</v>
      </c>
      <c r="P12" s="41">
        <f t="shared" ref="P12:P25" si="12">(C12/2.2)*((A12+10)/100)</f>
        <v>0</v>
      </c>
      <c r="Q12" s="33">
        <f t="shared" ref="Q12:Q25" si="13">C12/2.2</f>
        <v>0</v>
      </c>
      <c r="R12" s="23" t="e">
        <f t="shared" ref="R12:R25" si="14">(M12*N12)*D12</f>
        <v>#VALUE!</v>
      </c>
      <c r="S12" s="8" t="e">
        <f t="shared" ref="S12:S25" si="15">((M12+N12)*4)*D12</f>
        <v>#VALUE!</v>
      </c>
    </row>
    <row r="13" spans="1:19" ht="24" customHeight="1" x14ac:dyDescent="0.25">
      <c r="A13" s="4"/>
      <c r="B13" s="5"/>
      <c r="C13" s="5"/>
      <c r="D13" s="6">
        <f t="shared" si="0"/>
        <v>0</v>
      </c>
      <c r="E13" s="43">
        <f t="shared" si="1"/>
        <v>0</v>
      </c>
      <c r="F13" s="20">
        <f t="shared" si="2"/>
        <v>0</v>
      </c>
      <c r="G13" s="21">
        <f t="shared" si="3"/>
        <v>0</v>
      </c>
      <c r="H13" s="7" t="str">
        <f t="shared" si="4"/>
        <v/>
      </c>
      <c r="I13" s="9">
        <f t="shared" si="5"/>
        <v>0</v>
      </c>
      <c r="J13" s="9">
        <f t="shared" si="6"/>
        <v>0</v>
      </c>
      <c r="K13" s="9">
        <f t="shared" si="7"/>
        <v>0</v>
      </c>
      <c r="L13" s="40">
        <f t="shared" si="8"/>
        <v>0</v>
      </c>
      <c r="M13" s="9" t="str">
        <f t="shared" si="9"/>
        <v/>
      </c>
      <c r="N13" s="9" t="str">
        <f t="shared" si="10"/>
        <v/>
      </c>
      <c r="O13" s="40" t="e">
        <f t="shared" si="11"/>
        <v>#VALUE!</v>
      </c>
      <c r="P13" s="41">
        <f t="shared" si="12"/>
        <v>0</v>
      </c>
      <c r="Q13" s="33">
        <f t="shared" si="13"/>
        <v>0</v>
      </c>
      <c r="R13" s="23" t="e">
        <f t="shared" si="14"/>
        <v>#VALUE!</v>
      </c>
      <c r="S13" s="8" t="e">
        <f t="shared" si="15"/>
        <v>#VALUE!</v>
      </c>
    </row>
    <row r="14" spans="1:19" ht="24" customHeight="1" x14ac:dyDescent="0.25">
      <c r="A14" s="4"/>
      <c r="B14" s="5"/>
      <c r="C14" s="5"/>
      <c r="D14" s="6">
        <f t="shared" si="0"/>
        <v>0</v>
      </c>
      <c r="E14" s="43">
        <f t="shared" si="1"/>
        <v>0</v>
      </c>
      <c r="F14" s="20">
        <f t="shared" si="2"/>
        <v>0</v>
      </c>
      <c r="G14" s="21">
        <f t="shared" si="3"/>
        <v>0</v>
      </c>
      <c r="H14" s="7" t="str">
        <f t="shared" si="4"/>
        <v/>
      </c>
      <c r="I14" s="9">
        <f t="shared" si="5"/>
        <v>0</v>
      </c>
      <c r="J14" s="9">
        <f t="shared" si="6"/>
        <v>0</v>
      </c>
      <c r="K14" s="9">
        <f t="shared" si="7"/>
        <v>0</v>
      </c>
      <c r="L14" s="40">
        <f t="shared" si="8"/>
        <v>0</v>
      </c>
      <c r="M14" s="9" t="str">
        <f t="shared" si="9"/>
        <v/>
      </c>
      <c r="N14" s="9" t="str">
        <f t="shared" si="10"/>
        <v/>
      </c>
      <c r="O14" s="40" t="e">
        <f t="shared" si="11"/>
        <v>#VALUE!</v>
      </c>
      <c r="P14" s="41">
        <f t="shared" si="12"/>
        <v>0</v>
      </c>
      <c r="Q14" s="33">
        <f t="shared" si="13"/>
        <v>0</v>
      </c>
      <c r="R14" s="23" t="e">
        <f t="shared" si="14"/>
        <v>#VALUE!</v>
      </c>
      <c r="S14" s="8" t="e">
        <f t="shared" si="15"/>
        <v>#VALUE!</v>
      </c>
    </row>
    <row r="15" spans="1:19" ht="24" customHeight="1" x14ac:dyDescent="0.25">
      <c r="A15" s="4"/>
      <c r="B15" s="5"/>
      <c r="C15" s="5"/>
      <c r="D15" s="6">
        <f t="shared" si="0"/>
        <v>0</v>
      </c>
      <c r="E15" s="43">
        <f t="shared" si="1"/>
        <v>0</v>
      </c>
      <c r="F15" s="20">
        <f t="shared" si="2"/>
        <v>0</v>
      </c>
      <c r="G15" s="21">
        <f t="shared" si="3"/>
        <v>0</v>
      </c>
      <c r="H15" s="7" t="str">
        <f t="shared" si="4"/>
        <v/>
      </c>
      <c r="I15" s="9">
        <f t="shared" si="5"/>
        <v>0</v>
      </c>
      <c r="J15" s="9">
        <f t="shared" si="6"/>
        <v>0</v>
      </c>
      <c r="K15" s="9">
        <f t="shared" si="7"/>
        <v>0</v>
      </c>
      <c r="L15" s="40">
        <f t="shared" si="8"/>
        <v>0</v>
      </c>
      <c r="M15" s="9" t="str">
        <f t="shared" si="9"/>
        <v/>
      </c>
      <c r="N15" s="9" t="str">
        <f t="shared" si="10"/>
        <v/>
      </c>
      <c r="O15" s="40" t="e">
        <f t="shared" si="11"/>
        <v>#VALUE!</v>
      </c>
      <c r="P15" s="41">
        <f t="shared" si="12"/>
        <v>0</v>
      </c>
      <c r="Q15" s="33">
        <f t="shared" si="13"/>
        <v>0</v>
      </c>
      <c r="R15" s="23" t="e">
        <f t="shared" si="14"/>
        <v>#VALUE!</v>
      </c>
      <c r="S15" s="8" t="e">
        <f t="shared" si="15"/>
        <v>#VALUE!</v>
      </c>
    </row>
    <row r="16" spans="1:19" ht="24" customHeight="1" x14ac:dyDescent="0.25">
      <c r="A16" s="4"/>
      <c r="B16" s="5"/>
      <c r="C16" s="5"/>
      <c r="D16" s="6">
        <f t="shared" si="0"/>
        <v>0</v>
      </c>
      <c r="E16" s="43">
        <f t="shared" si="1"/>
        <v>0</v>
      </c>
      <c r="F16" s="20">
        <f t="shared" si="2"/>
        <v>0</v>
      </c>
      <c r="G16" s="21">
        <f t="shared" si="3"/>
        <v>0</v>
      </c>
      <c r="H16" s="7" t="str">
        <f t="shared" si="4"/>
        <v/>
      </c>
      <c r="I16" s="9">
        <f t="shared" si="5"/>
        <v>0</v>
      </c>
      <c r="J16" s="9">
        <f t="shared" si="6"/>
        <v>0</v>
      </c>
      <c r="K16" s="9">
        <f t="shared" si="7"/>
        <v>0</v>
      </c>
      <c r="L16" s="40">
        <f t="shared" si="8"/>
        <v>0</v>
      </c>
      <c r="M16" s="9" t="str">
        <f t="shared" si="9"/>
        <v/>
      </c>
      <c r="N16" s="9" t="str">
        <f t="shared" si="10"/>
        <v/>
      </c>
      <c r="O16" s="40" t="e">
        <f t="shared" si="11"/>
        <v>#VALUE!</v>
      </c>
      <c r="P16" s="41">
        <f t="shared" si="12"/>
        <v>0</v>
      </c>
      <c r="Q16" s="33">
        <f t="shared" si="13"/>
        <v>0</v>
      </c>
      <c r="R16" s="23" t="e">
        <f t="shared" si="14"/>
        <v>#VALUE!</v>
      </c>
      <c r="S16" s="8" t="e">
        <f t="shared" si="15"/>
        <v>#VALUE!</v>
      </c>
    </row>
    <row r="17" spans="1:19" ht="24" customHeight="1" x14ac:dyDescent="0.25">
      <c r="A17" s="4"/>
      <c r="B17" s="5"/>
      <c r="C17" s="5"/>
      <c r="D17" s="6">
        <f t="shared" si="0"/>
        <v>0</v>
      </c>
      <c r="E17" s="43">
        <f t="shared" si="1"/>
        <v>0</v>
      </c>
      <c r="F17" s="20">
        <f t="shared" si="2"/>
        <v>0</v>
      </c>
      <c r="G17" s="21">
        <f t="shared" si="3"/>
        <v>0</v>
      </c>
      <c r="H17" s="7" t="str">
        <f t="shared" si="4"/>
        <v/>
      </c>
      <c r="I17" s="9">
        <f t="shared" si="5"/>
        <v>0</v>
      </c>
      <c r="J17" s="9">
        <f t="shared" si="6"/>
        <v>0</v>
      </c>
      <c r="K17" s="9">
        <f t="shared" si="7"/>
        <v>0</v>
      </c>
      <c r="L17" s="40">
        <f t="shared" si="8"/>
        <v>0</v>
      </c>
      <c r="M17" s="9" t="str">
        <f t="shared" si="9"/>
        <v/>
      </c>
      <c r="N17" s="9" t="str">
        <f t="shared" si="10"/>
        <v/>
      </c>
      <c r="O17" s="40" t="e">
        <f t="shared" si="11"/>
        <v>#VALUE!</v>
      </c>
      <c r="P17" s="41">
        <f t="shared" si="12"/>
        <v>0</v>
      </c>
      <c r="Q17" s="33">
        <f t="shared" si="13"/>
        <v>0</v>
      </c>
      <c r="R17" s="23" t="e">
        <f t="shared" si="14"/>
        <v>#VALUE!</v>
      </c>
      <c r="S17" s="8" t="e">
        <f t="shared" si="15"/>
        <v>#VALUE!</v>
      </c>
    </row>
    <row r="18" spans="1:19" ht="24" customHeight="1" x14ac:dyDescent="0.25">
      <c r="A18" s="4"/>
      <c r="B18" s="5"/>
      <c r="C18" s="5"/>
      <c r="D18" s="6">
        <f t="shared" si="0"/>
        <v>0</v>
      </c>
      <c r="E18" s="43">
        <f t="shared" si="1"/>
        <v>0</v>
      </c>
      <c r="F18" s="20">
        <f t="shared" si="2"/>
        <v>0</v>
      </c>
      <c r="G18" s="21">
        <f t="shared" si="3"/>
        <v>0</v>
      </c>
      <c r="H18" s="7" t="str">
        <f t="shared" si="4"/>
        <v/>
      </c>
      <c r="I18" s="9">
        <f t="shared" si="5"/>
        <v>0</v>
      </c>
      <c r="J18" s="9">
        <f t="shared" si="6"/>
        <v>0</v>
      </c>
      <c r="K18" s="9">
        <f t="shared" si="7"/>
        <v>0</v>
      </c>
      <c r="L18" s="40">
        <f t="shared" si="8"/>
        <v>0</v>
      </c>
      <c r="M18" s="9" t="str">
        <f t="shared" si="9"/>
        <v/>
      </c>
      <c r="N18" s="9" t="str">
        <f t="shared" si="10"/>
        <v/>
      </c>
      <c r="O18" s="40" t="e">
        <f t="shared" si="11"/>
        <v>#VALUE!</v>
      </c>
      <c r="P18" s="41">
        <f t="shared" si="12"/>
        <v>0</v>
      </c>
      <c r="Q18" s="33">
        <f t="shared" si="13"/>
        <v>0</v>
      </c>
      <c r="R18" s="23" t="e">
        <f t="shared" si="14"/>
        <v>#VALUE!</v>
      </c>
      <c r="S18" s="8" t="e">
        <f t="shared" si="15"/>
        <v>#VALUE!</v>
      </c>
    </row>
    <row r="19" spans="1:19" ht="24" customHeight="1" x14ac:dyDescent="0.25">
      <c r="A19" s="4"/>
      <c r="B19" s="5"/>
      <c r="C19" s="5"/>
      <c r="D19" s="6">
        <f t="shared" si="0"/>
        <v>0</v>
      </c>
      <c r="E19" s="43">
        <f t="shared" si="1"/>
        <v>0</v>
      </c>
      <c r="F19" s="20">
        <f t="shared" si="2"/>
        <v>0</v>
      </c>
      <c r="G19" s="21">
        <f t="shared" si="3"/>
        <v>0</v>
      </c>
      <c r="H19" s="7" t="str">
        <f t="shared" si="4"/>
        <v/>
      </c>
      <c r="I19" s="9">
        <f t="shared" si="5"/>
        <v>0</v>
      </c>
      <c r="J19" s="9">
        <f t="shared" si="6"/>
        <v>0</v>
      </c>
      <c r="K19" s="9">
        <f t="shared" si="7"/>
        <v>0</v>
      </c>
      <c r="L19" s="40">
        <f t="shared" si="8"/>
        <v>0</v>
      </c>
      <c r="M19" s="9" t="str">
        <f t="shared" si="9"/>
        <v/>
      </c>
      <c r="N19" s="9" t="str">
        <f t="shared" si="10"/>
        <v/>
      </c>
      <c r="O19" s="40" t="e">
        <f t="shared" si="11"/>
        <v>#VALUE!</v>
      </c>
      <c r="P19" s="41">
        <f t="shared" si="12"/>
        <v>0</v>
      </c>
      <c r="Q19" s="33">
        <f t="shared" si="13"/>
        <v>0</v>
      </c>
      <c r="R19" s="23" t="e">
        <f t="shared" si="14"/>
        <v>#VALUE!</v>
      </c>
      <c r="S19" s="8" t="e">
        <f t="shared" si="15"/>
        <v>#VALUE!</v>
      </c>
    </row>
    <row r="20" spans="1:19" ht="24" customHeight="1" x14ac:dyDescent="0.25">
      <c r="A20" s="4"/>
      <c r="B20" s="5"/>
      <c r="C20" s="5"/>
      <c r="D20" s="6">
        <f t="shared" si="0"/>
        <v>0</v>
      </c>
      <c r="E20" s="43">
        <f t="shared" si="1"/>
        <v>0</v>
      </c>
      <c r="F20" s="20">
        <f t="shared" si="2"/>
        <v>0</v>
      </c>
      <c r="G20" s="21">
        <f t="shared" si="3"/>
        <v>0</v>
      </c>
      <c r="H20" s="7" t="str">
        <f t="shared" si="4"/>
        <v/>
      </c>
      <c r="I20" s="9">
        <f t="shared" si="5"/>
        <v>0</v>
      </c>
      <c r="J20" s="9">
        <f t="shared" si="6"/>
        <v>0</v>
      </c>
      <c r="K20" s="9">
        <f t="shared" si="7"/>
        <v>0</v>
      </c>
      <c r="L20" s="40">
        <f t="shared" si="8"/>
        <v>0</v>
      </c>
      <c r="M20" s="9" t="str">
        <f t="shared" si="9"/>
        <v/>
      </c>
      <c r="N20" s="9" t="str">
        <f t="shared" si="10"/>
        <v/>
      </c>
      <c r="O20" s="40" t="e">
        <f t="shared" si="11"/>
        <v>#VALUE!</v>
      </c>
      <c r="P20" s="41">
        <f t="shared" si="12"/>
        <v>0</v>
      </c>
      <c r="Q20" s="33">
        <f t="shared" si="13"/>
        <v>0</v>
      </c>
      <c r="R20" s="23" t="e">
        <f t="shared" si="14"/>
        <v>#VALUE!</v>
      </c>
      <c r="S20" s="8" t="e">
        <f t="shared" si="15"/>
        <v>#VALUE!</v>
      </c>
    </row>
    <row r="21" spans="1:19" ht="24" customHeight="1" x14ac:dyDescent="0.25">
      <c r="A21" s="4"/>
      <c r="B21" s="5"/>
      <c r="C21" s="5"/>
      <c r="D21" s="6">
        <f t="shared" si="0"/>
        <v>0</v>
      </c>
      <c r="E21" s="43">
        <f t="shared" si="1"/>
        <v>0</v>
      </c>
      <c r="F21" s="20">
        <f t="shared" si="2"/>
        <v>0</v>
      </c>
      <c r="G21" s="21">
        <f t="shared" si="3"/>
        <v>0</v>
      </c>
      <c r="H21" s="7" t="str">
        <f t="shared" si="4"/>
        <v/>
      </c>
      <c r="I21" s="9">
        <f t="shared" si="5"/>
        <v>0</v>
      </c>
      <c r="J21" s="9">
        <f t="shared" si="6"/>
        <v>0</v>
      </c>
      <c r="K21" s="9">
        <f t="shared" si="7"/>
        <v>0</v>
      </c>
      <c r="L21" s="40">
        <f t="shared" si="8"/>
        <v>0</v>
      </c>
      <c r="M21" s="9" t="str">
        <f t="shared" si="9"/>
        <v/>
      </c>
      <c r="N21" s="9" t="str">
        <f t="shared" si="10"/>
        <v/>
      </c>
      <c r="O21" s="40" t="e">
        <f t="shared" si="11"/>
        <v>#VALUE!</v>
      </c>
      <c r="P21" s="41">
        <f t="shared" si="12"/>
        <v>0</v>
      </c>
      <c r="Q21" s="33">
        <f t="shared" si="13"/>
        <v>0</v>
      </c>
      <c r="R21" s="23" t="e">
        <f t="shared" si="14"/>
        <v>#VALUE!</v>
      </c>
      <c r="S21" s="8" t="e">
        <f t="shared" si="15"/>
        <v>#VALUE!</v>
      </c>
    </row>
    <row r="22" spans="1:19" ht="24" customHeight="1" x14ac:dyDescent="0.25">
      <c r="A22" s="4"/>
      <c r="B22" s="5"/>
      <c r="C22" s="5"/>
      <c r="D22" s="6">
        <f t="shared" si="0"/>
        <v>0</v>
      </c>
      <c r="E22" s="43">
        <f t="shared" si="1"/>
        <v>0</v>
      </c>
      <c r="F22" s="20">
        <f t="shared" si="2"/>
        <v>0</v>
      </c>
      <c r="G22" s="21">
        <f t="shared" si="3"/>
        <v>0</v>
      </c>
      <c r="H22" s="7" t="str">
        <f t="shared" si="4"/>
        <v/>
      </c>
      <c r="I22" s="9">
        <f t="shared" si="5"/>
        <v>0</v>
      </c>
      <c r="J22" s="9">
        <f t="shared" si="6"/>
        <v>0</v>
      </c>
      <c r="K22" s="9">
        <f t="shared" si="7"/>
        <v>0</v>
      </c>
      <c r="L22" s="40">
        <f t="shared" si="8"/>
        <v>0</v>
      </c>
      <c r="M22" s="9" t="str">
        <f t="shared" si="9"/>
        <v/>
      </c>
      <c r="N22" s="9" t="str">
        <f t="shared" si="10"/>
        <v/>
      </c>
      <c r="O22" s="40" t="e">
        <f t="shared" si="11"/>
        <v>#VALUE!</v>
      </c>
      <c r="P22" s="41">
        <f t="shared" si="12"/>
        <v>0</v>
      </c>
      <c r="Q22" s="33">
        <f t="shared" si="13"/>
        <v>0</v>
      </c>
      <c r="R22" s="23" t="e">
        <f t="shared" si="14"/>
        <v>#VALUE!</v>
      </c>
      <c r="S22" s="8" t="e">
        <f t="shared" si="15"/>
        <v>#VALUE!</v>
      </c>
    </row>
    <row r="23" spans="1:19" ht="24" customHeight="1" x14ac:dyDescent="0.25">
      <c r="A23" s="4"/>
      <c r="B23" s="5"/>
      <c r="C23" s="5"/>
      <c r="D23" s="6">
        <f t="shared" si="0"/>
        <v>0</v>
      </c>
      <c r="E23" s="43">
        <f t="shared" si="1"/>
        <v>0</v>
      </c>
      <c r="F23" s="20">
        <f t="shared" si="2"/>
        <v>0</v>
      </c>
      <c r="G23" s="21">
        <f t="shared" si="3"/>
        <v>0</v>
      </c>
      <c r="H23" s="7" t="str">
        <f t="shared" si="4"/>
        <v/>
      </c>
      <c r="I23" s="9">
        <f t="shared" si="5"/>
        <v>0</v>
      </c>
      <c r="J23" s="9">
        <f t="shared" si="6"/>
        <v>0</v>
      </c>
      <c r="K23" s="9">
        <f t="shared" si="7"/>
        <v>0</v>
      </c>
      <c r="L23" s="40">
        <f t="shared" si="8"/>
        <v>0</v>
      </c>
      <c r="M23" s="9" t="str">
        <f t="shared" si="9"/>
        <v/>
      </c>
      <c r="N23" s="9" t="str">
        <f t="shared" si="10"/>
        <v/>
      </c>
      <c r="O23" s="40" t="e">
        <f t="shared" si="11"/>
        <v>#VALUE!</v>
      </c>
      <c r="P23" s="41">
        <f t="shared" si="12"/>
        <v>0</v>
      </c>
      <c r="Q23" s="33">
        <f t="shared" si="13"/>
        <v>0</v>
      </c>
      <c r="R23" s="23" t="e">
        <f t="shared" si="14"/>
        <v>#VALUE!</v>
      </c>
      <c r="S23" s="8" t="e">
        <f t="shared" si="15"/>
        <v>#VALUE!</v>
      </c>
    </row>
    <row r="24" spans="1:19" ht="24" customHeight="1" x14ac:dyDescent="0.25">
      <c r="A24" s="4"/>
      <c r="B24" s="5"/>
      <c r="C24" s="5"/>
      <c r="D24" s="6">
        <f t="shared" si="0"/>
        <v>0</v>
      </c>
      <c r="E24" s="43">
        <f t="shared" si="1"/>
        <v>0</v>
      </c>
      <c r="F24" s="20">
        <f t="shared" si="2"/>
        <v>0</v>
      </c>
      <c r="G24" s="21">
        <f t="shared" si="3"/>
        <v>0</v>
      </c>
      <c r="H24" s="7" t="str">
        <f t="shared" si="4"/>
        <v/>
      </c>
      <c r="I24" s="9">
        <f t="shared" si="5"/>
        <v>0</v>
      </c>
      <c r="J24" s="9">
        <f t="shared" si="6"/>
        <v>0</v>
      </c>
      <c r="K24" s="9">
        <f t="shared" si="7"/>
        <v>0</v>
      </c>
      <c r="L24" s="40">
        <f t="shared" si="8"/>
        <v>0</v>
      </c>
      <c r="M24" s="9" t="str">
        <f t="shared" si="9"/>
        <v/>
      </c>
      <c r="N24" s="9" t="str">
        <f t="shared" si="10"/>
        <v/>
      </c>
      <c r="O24" s="40" t="e">
        <f t="shared" si="11"/>
        <v>#VALUE!</v>
      </c>
      <c r="P24" s="41">
        <f t="shared" si="12"/>
        <v>0</v>
      </c>
      <c r="Q24" s="33">
        <f t="shared" si="13"/>
        <v>0</v>
      </c>
      <c r="R24" s="23" t="e">
        <f t="shared" si="14"/>
        <v>#VALUE!</v>
      </c>
      <c r="S24" s="8" t="e">
        <f t="shared" si="15"/>
        <v>#VALUE!</v>
      </c>
    </row>
    <row r="25" spans="1:19" ht="24" customHeight="1" x14ac:dyDescent="0.25">
      <c r="A25" s="4"/>
      <c r="B25" s="5"/>
      <c r="C25" s="5"/>
      <c r="D25" s="6">
        <f t="shared" si="0"/>
        <v>0</v>
      </c>
      <c r="E25" s="43">
        <f t="shared" si="1"/>
        <v>0</v>
      </c>
      <c r="F25" s="20">
        <f t="shared" si="2"/>
        <v>0</v>
      </c>
      <c r="G25" s="21">
        <f t="shared" si="3"/>
        <v>0</v>
      </c>
      <c r="H25" s="7" t="str">
        <f t="shared" si="4"/>
        <v/>
      </c>
      <c r="I25" s="9">
        <f t="shared" si="5"/>
        <v>0</v>
      </c>
      <c r="J25" s="9">
        <f t="shared" si="6"/>
        <v>0</v>
      </c>
      <c r="K25" s="9">
        <f t="shared" si="7"/>
        <v>0</v>
      </c>
      <c r="L25" s="40">
        <f t="shared" si="8"/>
        <v>0</v>
      </c>
      <c r="M25" s="9" t="str">
        <f t="shared" si="9"/>
        <v/>
      </c>
      <c r="N25" s="9" t="str">
        <f t="shared" si="10"/>
        <v/>
      </c>
      <c r="O25" s="40" t="e">
        <f t="shared" si="11"/>
        <v>#VALUE!</v>
      </c>
      <c r="P25" s="41">
        <f t="shared" si="12"/>
        <v>0</v>
      </c>
      <c r="Q25" s="33">
        <f t="shared" si="13"/>
        <v>0</v>
      </c>
      <c r="R25" s="23" t="e">
        <f t="shared" si="14"/>
        <v>#VALUE!</v>
      </c>
      <c r="S25" s="8" t="e">
        <f t="shared" si="15"/>
        <v>#VALUE!</v>
      </c>
    </row>
    <row r="26" spans="1:19" ht="24" customHeight="1" x14ac:dyDescent="0.25">
      <c r="A26" s="4"/>
      <c r="B26" s="5"/>
      <c r="C26" s="5"/>
      <c r="D26" s="6"/>
      <c r="E26" s="43"/>
      <c r="F26" s="20"/>
      <c r="G26" s="21"/>
      <c r="H26" s="7"/>
      <c r="I26" s="9"/>
      <c r="J26" s="9"/>
      <c r="K26" s="9"/>
      <c r="L26" s="40"/>
      <c r="M26" s="9"/>
      <c r="N26" s="9"/>
      <c r="O26" s="40"/>
      <c r="P26" s="41"/>
      <c r="Q26" s="33"/>
      <c r="R26" s="23"/>
      <c r="S26" s="8"/>
    </row>
    <row r="27" spans="1:19" ht="24" customHeight="1" x14ac:dyDescent="0.25">
      <c r="A27" s="68" t="s">
        <v>84</v>
      </c>
      <c r="B27" s="69"/>
      <c r="C27" s="24">
        <f t="shared" ref="C27:S27" si="16">SUM(C9:C26)</f>
        <v>0</v>
      </c>
      <c r="D27" s="24">
        <f t="shared" si="16"/>
        <v>0</v>
      </c>
      <c r="E27" s="24">
        <f t="shared" si="16"/>
        <v>0</v>
      </c>
      <c r="F27" s="24">
        <f t="shared" si="16"/>
        <v>0</v>
      </c>
      <c r="G27" s="24">
        <f t="shared" si="16"/>
        <v>0</v>
      </c>
      <c r="H27" s="24">
        <f t="shared" si="16"/>
        <v>0</v>
      </c>
      <c r="I27" s="24">
        <f t="shared" si="16"/>
        <v>0</v>
      </c>
      <c r="J27" s="24">
        <f t="shared" si="16"/>
        <v>0</v>
      </c>
      <c r="K27" s="24">
        <f t="shared" si="16"/>
        <v>0</v>
      </c>
      <c r="L27" s="24">
        <f t="shared" si="16"/>
        <v>0</v>
      </c>
      <c r="M27" s="24">
        <f t="shared" si="16"/>
        <v>0</v>
      </c>
      <c r="N27" s="24">
        <f t="shared" si="16"/>
        <v>0</v>
      </c>
      <c r="O27" s="24" t="e">
        <f t="shared" si="16"/>
        <v>#VALUE!</v>
      </c>
      <c r="P27" s="24">
        <f t="shared" si="16"/>
        <v>0</v>
      </c>
      <c r="Q27" s="24">
        <f t="shared" si="16"/>
        <v>0</v>
      </c>
      <c r="R27" s="24" t="e">
        <f t="shared" si="16"/>
        <v>#VALUE!</v>
      </c>
      <c r="S27" s="24" t="e">
        <f t="shared" si="16"/>
        <v>#VALUE!</v>
      </c>
    </row>
    <row r="28" spans="1:19" ht="24" customHeight="1" x14ac:dyDescent="0.25">
      <c r="A28" s="4"/>
      <c r="B28" s="5"/>
      <c r="C28" s="5"/>
      <c r="D28" s="5"/>
      <c r="E28" s="10">
        <f>(A28+B28)*2*C28/9.29*1.2/21</f>
        <v>0</v>
      </c>
      <c r="F28" s="10">
        <f>(A28+B28)*2*C28/9.29*1.2/10.76</f>
        <v>0</v>
      </c>
      <c r="G28" s="11">
        <f>(A28+B28)*2*C28/9.29*1.2</f>
        <v>0</v>
      </c>
      <c r="H28" s="7" t="str">
        <f>IF(A28=0,"",IF(A28&lt;31,"26#",IF(A28&lt;76,"24#",IF(A28&lt;151,"22#",IF(A28&lt;181,"20#",IF(A28&lt;300,"18#"))))))</f>
        <v/>
      </c>
      <c r="I28" s="12">
        <f>((A28+B28)*2*7.85*C28)/100</f>
        <v>0</v>
      </c>
      <c r="J28" s="12"/>
      <c r="K28" s="12"/>
      <c r="L28" s="8"/>
      <c r="M28" s="8"/>
      <c r="N28" s="8"/>
      <c r="O28" s="8"/>
      <c r="P28" s="12"/>
      <c r="Q28" s="34"/>
      <c r="R28" s="25"/>
      <c r="S28" s="22"/>
    </row>
    <row r="29" spans="1:19" ht="24" customHeight="1" x14ac:dyDescent="0.25">
      <c r="A29" s="61" t="s">
        <v>85</v>
      </c>
      <c r="B29" s="62"/>
      <c r="C29" s="63"/>
      <c r="D29" s="13"/>
      <c r="E29" s="14"/>
      <c r="F29" s="15"/>
      <c r="G29" s="15"/>
      <c r="H29" s="16"/>
      <c r="I29" s="12"/>
      <c r="J29" s="12"/>
      <c r="K29" s="12"/>
      <c r="L29" s="12"/>
      <c r="M29" s="12"/>
      <c r="N29" s="12"/>
      <c r="O29" s="12"/>
      <c r="P29" s="17"/>
      <c r="Q29" s="35"/>
      <c r="R29" s="25"/>
      <c r="S29" s="22"/>
    </row>
  </sheetData>
  <mergeCells count="10">
    <mergeCell ref="A3:P3"/>
    <mergeCell ref="A4:P5"/>
    <mergeCell ref="A1:P1"/>
    <mergeCell ref="A2:P2"/>
    <mergeCell ref="A29:C29"/>
    <mergeCell ref="A7:E7"/>
    <mergeCell ref="A6:E6"/>
    <mergeCell ref="F6:H6"/>
    <mergeCell ref="F7:P7"/>
    <mergeCell ref="A27:B27"/>
  </mergeCells>
  <phoneticPr fontId="1" type="noConversion"/>
  <printOptions horizontalCentered="1" verticalCentered="1"/>
  <pageMargins left="0.39370078740157483" right="0.39370078740157483" top="0.39370078740157483" bottom="0.39370078740157483" header="0" footer="0"/>
  <pageSetup paperSize="9" scale="6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AHU-PAH</vt:lpstr>
      <vt:lpstr>EA</vt:lpstr>
      <vt:lpstr>排煙</vt:lpstr>
      <vt:lpstr>CO2</vt:lpstr>
      <vt:lpstr>立管</vt:lpstr>
      <vt:lpstr>'AHU-PAH'!Print_Area</vt:lpstr>
      <vt:lpstr>'CO2'!Print_Area</vt:lpstr>
      <vt:lpstr>EA!Print_Area</vt:lpstr>
      <vt:lpstr>立管!Print_Area</vt:lpstr>
      <vt:lpstr>排煙!Print_Area</vt:lpstr>
    </vt:vector>
  </TitlesOfParts>
  <Company>xxxxx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蔡文輝</dc:creator>
  <cp:lastModifiedBy>Admin</cp:lastModifiedBy>
  <cp:lastPrinted>2008-02-12T09:36:53Z</cp:lastPrinted>
  <dcterms:created xsi:type="dcterms:W3CDTF">2000-04-24T08:11:52Z</dcterms:created>
  <dcterms:modified xsi:type="dcterms:W3CDTF">2026-09-12T05:38:53Z</dcterms:modified>
</cp:coreProperties>
</file>